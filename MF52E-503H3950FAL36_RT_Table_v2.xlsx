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InH.Co.Ltd\Project\Ext_Project\Leaders-tech\Git_Kraken_Project\Git_Kraken_Project_Office\LTD_3x00B\"/>
    </mc:Choice>
  </mc:AlternateContent>
  <xr:revisionPtr revIDLastSave="0" documentId="13_ncr:1_{A05A800A-2BCE-4B6E-8498-C416327C6F6F}" xr6:coauthVersionLast="47" xr6:coauthVersionMax="47" xr10:uidLastSave="{00000000-0000-0000-0000-000000000000}"/>
  <bookViews>
    <workbookView xWindow="-39880" yWindow="540" windowWidth="37140" windowHeight="18780" tabRatio="500" activeTab="2" xr2:uid="{00000000-000D-0000-FFFF-FFFF00000000}"/>
  </bookViews>
  <sheets>
    <sheet name="R-T Table" sheetId="1" r:id="rId1"/>
    <sheet name="ADC Pull-up" sheetId="2" r:id="rId2"/>
    <sheet name="ADC Pull-dow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49" i="3" l="1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48" i="3"/>
  <c r="AF62" i="3"/>
  <c r="AF70" i="3"/>
  <c r="AF78" i="3"/>
  <c r="AF88" i="3"/>
  <c r="AF96" i="3"/>
  <c r="AF104" i="3"/>
  <c r="AF112" i="3"/>
  <c r="AF120" i="3"/>
  <c r="AF124" i="3"/>
  <c r="AF133" i="3"/>
  <c r="AF141" i="3"/>
  <c r="AF149" i="3"/>
  <c r="AF150" i="3"/>
  <c r="AF152" i="3"/>
  <c r="AF157" i="3"/>
  <c r="AF158" i="3"/>
  <c r="AF160" i="3"/>
  <c r="AF165" i="3"/>
  <c r="AF166" i="3"/>
  <c r="AF168" i="3"/>
  <c r="AF173" i="3"/>
  <c r="AF174" i="3"/>
  <c r="AF176" i="3"/>
  <c r="AF181" i="3"/>
  <c r="AF182" i="3"/>
  <c r="AF184" i="3"/>
  <c r="AF189" i="3"/>
  <c r="AF190" i="3"/>
  <c r="AF192" i="3"/>
  <c r="AF197" i="3"/>
  <c r="AF198" i="3"/>
  <c r="Z144" i="3"/>
  <c r="Z149" i="3"/>
  <c r="Z152" i="3"/>
  <c r="Z54" i="3"/>
  <c r="Z62" i="3"/>
  <c r="Z72" i="3"/>
  <c r="Z80" i="3"/>
  <c r="Z84" i="3"/>
  <c r="Z88" i="3"/>
  <c r="Z92" i="3"/>
  <c r="Z96" i="3"/>
  <c r="Z100" i="3"/>
  <c r="Z101" i="3"/>
  <c r="AB101" i="3" s="1"/>
  <c r="Z104" i="3"/>
  <c r="Z109" i="3"/>
  <c r="Z117" i="3"/>
  <c r="AB117" i="3" s="1"/>
  <c r="Z125" i="3"/>
  <c r="AB125" i="3" s="1"/>
  <c r="Z133" i="3"/>
  <c r="Z134" i="3"/>
  <c r="Z136" i="3"/>
  <c r="Z141" i="3"/>
  <c r="AB141" i="3" s="1"/>
  <c r="Z142" i="3"/>
  <c r="AB142" i="3" s="1"/>
  <c r="AB134" i="3"/>
  <c r="AB157" i="3"/>
  <c r="AB163" i="3"/>
  <c r="AB165" i="3"/>
  <c r="AB173" i="3"/>
  <c r="AB179" i="3"/>
  <c r="AB181" i="3"/>
  <c r="AB187" i="3"/>
  <c r="AB189" i="3"/>
  <c r="B198" i="3"/>
  <c r="C198" i="3" s="1"/>
  <c r="D198" i="3" s="1"/>
  <c r="E198" i="3" s="1"/>
  <c r="Z198" i="3" s="1"/>
  <c r="AB198" i="3" s="1"/>
  <c r="A198" i="3"/>
  <c r="B197" i="3"/>
  <c r="C197" i="3" s="1"/>
  <c r="D197" i="3" s="1"/>
  <c r="E197" i="3" s="1"/>
  <c r="Z197" i="3" s="1"/>
  <c r="AB197" i="3" s="1"/>
  <c r="A197" i="3"/>
  <c r="B196" i="3"/>
  <c r="C196" i="3" s="1"/>
  <c r="D196" i="3" s="1"/>
  <c r="E196" i="3" s="1"/>
  <c r="Z196" i="3" s="1"/>
  <c r="AB196" i="3" s="1"/>
  <c r="A196" i="3"/>
  <c r="B195" i="3"/>
  <c r="C195" i="3" s="1"/>
  <c r="D195" i="3" s="1"/>
  <c r="E195" i="3" s="1"/>
  <c r="Z195" i="3" s="1"/>
  <c r="A195" i="3"/>
  <c r="B194" i="3"/>
  <c r="C194" i="3" s="1"/>
  <c r="D194" i="3" s="1"/>
  <c r="E194" i="3" s="1"/>
  <c r="Z194" i="3" s="1"/>
  <c r="A194" i="3"/>
  <c r="B193" i="3"/>
  <c r="C193" i="3" s="1"/>
  <c r="D193" i="3" s="1"/>
  <c r="E193" i="3" s="1"/>
  <c r="Z193" i="3" s="1"/>
  <c r="AB193" i="3" s="1"/>
  <c r="A193" i="3"/>
  <c r="B192" i="3"/>
  <c r="C192" i="3" s="1"/>
  <c r="D192" i="3" s="1"/>
  <c r="E192" i="3" s="1"/>
  <c r="Z192" i="3" s="1"/>
  <c r="A192" i="3"/>
  <c r="B191" i="3"/>
  <c r="C191" i="3" s="1"/>
  <c r="D191" i="3" s="1"/>
  <c r="E191" i="3" s="1"/>
  <c r="Z191" i="3" s="1"/>
  <c r="AB191" i="3" s="1"/>
  <c r="A191" i="3"/>
  <c r="B190" i="3"/>
  <c r="C190" i="3" s="1"/>
  <c r="D190" i="3" s="1"/>
  <c r="E190" i="3" s="1"/>
  <c r="Z190" i="3" s="1"/>
  <c r="AB190" i="3" s="1"/>
  <c r="A190" i="3"/>
  <c r="B189" i="3"/>
  <c r="C189" i="3" s="1"/>
  <c r="D189" i="3" s="1"/>
  <c r="E189" i="3" s="1"/>
  <c r="Z189" i="3" s="1"/>
  <c r="A189" i="3"/>
  <c r="B188" i="3"/>
  <c r="C188" i="3" s="1"/>
  <c r="D188" i="3" s="1"/>
  <c r="E188" i="3" s="1"/>
  <c r="Z188" i="3" s="1"/>
  <c r="A188" i="3"/>
  <c r="B187" i="3"/>
  <c r="C187" i="3" s="1"/>
  <c r="D187" i="3" s="1"/>
  <c r="E187" i="3" s="1"/>
  <c r="Z187" i="3" s="1"/>
  <c r="AB188" i="3" s="1"/>
  <c r="A187" i="3"/>
  <c r="B186" i="3"/>
  <c r="C186" i="3" s="1"/>
  <c r="D186" i="3" s="1"/>
  <c r="E186" i="3" s="1"/>
  <c r="Z186" i="3" s="1"/>
  <c r="AB186" i="3" s="1"/>
  <c r="A186" i="3"/>
  <c r="B185" i="3"/>
  <c r="C185" i="3" s="1"/>
  <c r="D185" i="3" s="1"/>
  <c r="E185" i="3" s="1"/>
  <c r="Z185" i="3" s="1"/>
  <c r="AB185" i="3" s="1"/>
  <c r="A185" i="3"/>
  <c r="B184" i="3"/>
  <c r="C184" i="3" s="1"/>
  <c r="D184" i="3" s="1"/>
  <c r="E184" i="3" s="1"/>
  <c r="Z184" i="3" s="1"/>
  <c r="A184" i="3"/>
  <c r="B183" i="3"/>
  <c r="C183" i="3" s="1"/>
  <c r="D183" i="3" s="1"/>
  <c r="E183" i="3" s="1"/>
  <c r="Z183" i="3" s="1"/>
  <c r="AB183" i="3" s="1"/>
  <c r="A183" i="3"/>
  <c r="B182" i="3"/>
  <c r="C182" i="3" s="1"/>
  <c r="D182" i="3" s="1"/>
  <c r="E182" i="3" s="1"/>
  <c r="Z182" i="3" s="1"/>
  <c r="AB182" i="3" s="1"/>
  <c r="A182" i="3"/>
  <c r="B181" i="3"/>
  <c r="C181" i="3" s="1"/>
  <c r="D181" i="3" s="1"/>
  <c r="E181" i="3" s="1"/>
  <c r="Z181" i="3" s="1"/>
  <c r="A181" i="3"/>
  <c r="B180" i="3"/>
  <c r="C180" i="3" s="1"/>
  <c r="D180" i="3" s="1"/>
  <c r="E180" i="3" s="1"/>
  <c r="Z180" i="3" s="1"/>
  <c r="A180" i="3"/>
  <c r="B179" i="3"/>
  <c r="C179" i="3" s="1"/>
  <c r="D179" i="3" s="1"/>
  <c r="E179" i="3" s="1"/>
  <c r="Z179" i="3" s="1"/>
  <c r="AB180" i="3" s="1"/>
  <c r="A179" i="3"/>
  <c r="B178" i="3"/>
  <c r="C178" i="3" s="1"/>
  <c r="D178" i="3" s="1"/>
  <c r="E178" i="3" s="1"/>
  <c r="Z178" i="3" s="1"/>
  <c r="AB178" i="3" s="1"/>
  <c r="A178" i="3"/>
  <c r="B177" i="3"/>
  <c r="C177" i="3" s="1"/>
  <c r="D177" i="3" s="1"/>
  <c r="E177" i="3" s="1"/>
  <c r="Z177" i="3" s="1"/>
  <c r="AB177" i="3" s="1"/>
  <c r="A177" i="3"/>
  <c r="B176" i="3"/>
  <c r="C176" i="3" s="1"/>
  <c r="D176" i="3" s="1"/>
  <c r="E176" i="3" s="1"/>
  <c r="Z176" i="3" s="1"/>
  <c r="A176" i="3"/>
  <c r="B175" i="3"/>
  <c r="C175" i="3" s="1"/>
  <c r="D175" i="3" s="1"/>
  <c r="E175" i="3" s="1"/>
  <c r="Z175" i="3" s="1"/>
  <c r="AB175" i="3" s="1"/>
  <c r="A175" i="3"/>
  <c r="B174" i="3"/>
  <c r="C174" i="3" s="1"/>
  <c r="D174" i="3" s="1"/>
  <c r="E174" i="3" s="1"/>
  <c r="Z174" i="3" s="1"/>
  <c r="AB174" i="3" s="1"/>
  <c r="A174" i="3"/>
  <c r="B173" i="3"/>
  <c r="C173" i="3" s="1"/>
  <c r="D173" i="3" s="1"/>
  <c r="E173" i="3" s="1"/>
  <c r="Z173" i="3" s="1"/>
  <c r="A173" i="3"/>
  <c r="B172" i="3"/>
  <c r="C172" i="3" s="1"/>
  <c r="D172" i="3" s="1"/>
  <c r="E172" i="3" s="1"/>
  <c r="Z172" i="3" s="1"/>
  <c r="A172" i="3"/>
  <c r="B171" i="3"/>
  <c r="C171" i="3" s="1"/>
  <c r="D171" i="3" s="1"/>
  <c r="E171" i="3" s="1"/>
  <c r="Z171" i="3" s="1"/>
  <c r="AB171" i="3" s="1"/>
  <c r="A171" i="3"/>
  <c r="B170" i="3"/>
  <c r="C170" i="3" s="1"/>
  <c r="D170" i="3" s="1"/>
  <c r="E170" i="3" s="1"/>
  <c r="Z170" i="3" s="1"/>
  <c r="AB170" i="3" s="1"/>
  <c r="A170" i="3"/>
  <c r="B169" i="3"/>
  <c r="C169" i="3" s="1"/>
  <c r="D169" i="3" s="1"/>
  <c r="E169" i="3" s="1"/>
  <c r="Z169" i="3" s="1"/>
  <c r="AB169" i="3" s="1"/>
  <c r="A169" i="3"/>
  <c r="B168" i="3"/>
  <c r="C168" i="3" s="1"/>
  <c r="D168" i="3" s="1"/>
  <c r="E168" i="3" s="1"/>
  <c r="Z168" i="3" s="1"/>
  <c r="A168" i="3"/>
  <c r="B167" i="3"/>
  <c r="C167" i="3" s="1"/>
  <c r="D167" i="3" s="1"/>
  <c r="E167" i="3" s="1"/>
  <c r="Z167" i="3" s="1"/>
  <c r="AB167" i="3" s="1"/>
  <c r="A167" i="3"/>
  <c r="B166" i="3"/>
  <c r="C166" i="3" s="1"/>
  <c r="D166" i="3" s="1"/>
  <c r="E166" i="3" s="1"/>
  <c r="Z166" i="3" s="1"/>
  <c r="AB166" i="3" s="1"/>
  <c r="A166" i="3"/>
  <c r="B165" i="3"/>
  <c r="C165" i="3" s="1"/>
  <c r="D165" i="3" s="1"/>
  <c r="E165" i="3" s="1"/>
  <c r="Z165" i="3" s="1"/>
  <c r="A165" i="3"/>
  <c r="B164" i="3"/>
  <c r="C164" i="3" s="1"/>
  <c r="D164" i="3" s="1"/>
  <c r="E164" i="3" s="1"/>
  <c r="Z164" i="3" s="1"/>
  <c r="AB164" i="3" s="1"/>
  <c r="A164" i="3"/>
  <c r="B163" i="3"/>
  <c r="C163" i="3" s="1"/>
  <c r="D163" i="3" s="1"/>
  <c r="E163" i="3" s="1"/>
  <c r="Z163" i="3" s="1"/>
  <c r="A163" i="3"/>
  <c r="B162" i="3"/>
  <c r="C162" i="3" s="1"/>
  <c r="D162" i="3" s="1"/>
  <c r="E162" i="3" s="1"/>
  <c r="Z162" i="3" s="1"/>
  <c r="AB162" i="3" s="1"/>
  <c r="A162" i="3"/>
  <c r="B161" i="3"/>
  <c r="C161" i="3" s="1"/>
  <c r="D161" i="3" s="1"/>
  <c r="E161" i="3" s="1"/>
  <c r="Z161" i="3" s="1"/>
  <c r="AB161" i="3" s="1"/>
  <c r="A161" i="3"/>
  <c r="B160" i="3"/>
  <c r="C160" i="3" s="1"/>
  <c r="D160" i="3" s="1"/>
  <c r="E160" i="3" s="1"/>
  <c r="Z160" i="3" s="1"/>
  <c r="AB160" i="3" s="1"/>
  <c r="A160" i="3"/>
  <c r="B159" i="3"/>
  <c r="C159" i="3" s="1"/>
  <c r="D159" i="3" s="1"/>
  <c r="E159" i="3" s="1"/>
  <c r="Z159" i="3" s="1"/>
  <c r="AB159" i="3" s="1"/>
  <c r="A159" i="3"/>
  <c r="B158" i="3"/>
  <c r="C158" i="3" s="1"/>
  <c r="D158" i="3" s="1"/>
  <c r="E158" i="3" s="1"/>
  <c r="Z158" i="3" s="1"/>
  <c r="AB158" i="3" s="1"/>
  <c r="A158" i="3"/>
  <c r="B157" i="3"/>
  <c r="C157" i="3" s="1"/>
  <c r="D157" i="3" s="1"/>
  <c r="E157" i="3" s="1"/>
  <c r="Z157" i="3" s="1"/>
  <c r="A157" i="3"/>
  <c r="B156" i="3"/>
  <c r="C156" i="3" s="1"/>
  <c r="D156" i="3" s="1"/>
  <c r="E156" i="3" s="1"/>
  <c r="Z156" i="3" s="1"/>
  <c r="AB156" i="3" s="1"/>
  <c r="A156" i="3"/>
  <c r="B155" i="3"/>
  <c r="C155" i="3" s="1"/>
  <c r="D155" i="3" s="1"/>
  <c r="E155" i="3" s="1"/>
  <c r="Z155" i="3" s="1"/>
  <c r="A155" i="3"/>
  <c r="B154" i="3"/>
  <c r="C154" i="3" s="1"/>
  <c r="D154" i="3" s="1"/>
  <c r="E154" i="3" s="1"/>
  <c r="Z154" i="3" s="1"/>
  <c r="AB154" i="3" s="1"/>
  <c r="A154" i="3"/>
  <c r="B153" i="3"/>
  <c r="C153" i="3" s="1"/>
  <c r="D153" i="3" s="1"/>
  <c r="E153" i="3" s="1"/>
  <c r="Z153" i="3" s="1"/>
  <c r="AB153" i="3" s="1"/>
  <c r="A153" i="3"/>
  <c r="B152" i="3"/>
  <c r="C152" i="3" s="1"/>
  <c r="D152" i="3" s="1"/>
  <c r="E152" i="3" s="1"/>
  <c r="AF172" i="3" s="1"/>
  <c r="A152" i="3"/>
  <c r="B151" i="3"/>
  <c r="C151" i="3" s="1"/>
  <c r="D151" i="3" s="1"/>
  <c r="E151" i="3" s="1"/>
  <c r="AF171" i="3" s="1"/>
  <c r="A151" i="3"/>
  <c r="B150" i="3"/>
  <c r="C150" i="3" s="1"/>
  <c r="D150" i="3" s="1"/>
  <c r="E150" i="3" s="1"/>
  <c r="AF170" i="3" s="1"/>
  <c r="A150" i="3"/>
  <c r="B149" i="3"/>
  <c r="C149" i="3" s="1"/>
  <c r="D149" i="3" s="1"/>
  <c r="E149" i="3" s="1"/>
  <c r="AF169" i="3" s="1"/>
  <c r="A149" i="3"/>
  <c r="B148" i="3"/>
  <c r="C148" i="3" s="1"/>
  <c r="D148" i="3" s="1"/>
  <c r="E148" i="3" s="1"/>
  <c r="Z148" i="3" s="1"/>
  <c r="A148" i="3"/>
  <c r="B147" i="3"/>
  <c r="C147" i="3" s="1"/>
  <c r="D147" i="3" s="1"/>
  <c r="E147" i="3" s="1"/>
  <c r="Z147" i="3" s="1"/>
  <c r="A147" i="3"/>
  <c r="B146" i="3"/>
  <c r="C146" i="3" s="1"/>
  <c r="D146" i="3" s="1"/>
  <c r="E146" i="3" s="1"/>
  <c r="Z146" i="3" s="1"/>
  <c r="A146" i="3"/>
  <c r="B145" i="3"/>
  <c r="C145" i="3" s="1"/>
  <c r="D145" i="3" s="1"/>
  <c r="E145" i="3" s="1"/>
  <c r="Z145" i="3" s="1"/>
  <c r="AB145" i="3" s="1"/>
  <c r="A145" i="3"/>
  <c r="B144" i="3"/>
  <c r="C144" i="3" s="1"/>
  <c r="D144" i="3" s="1"/>
  <c r="E144" i="3" s="1"/>
  <c r="AF164" i="3" s="1"/>
  <c r="A144" i="3"/>
  <c r="B143" i="3"/>
  <c r="C143" i="3" s="1"/>
  <c r="D143" i="3" s="1"/>
  <c r="E143" i="3" s="1"/>
  <c r="AF163" i="3" s="1"/>
  <c r="A143" i="3"/>
  <c r="B142" i="3"/>
  <c r="C142" i="3" s="1"/>
  <c r="D142" i="3" s="1"/>
  <c r="E142" i="3" s="1"/>
  <c r="AF162" i="3" s="1"/>
  <c r="A142" i="3"/>
  <c r="B141" i="3"/>
  <c r="C141" i="3" s="1"/>
  <c r="D141" i="3" s="1"/>
  <c r="E141" i="3" s="1"/>
  <c r="AF161" i="3" s="1"/>
  <c r="A141" i="3"/>
  <c r="B140" i="3"/>
  <c r="C140" i="3" s="1"/>
  <c r="D140" i="3" s="1"/>
  <c r="E140" i="3" s="1"/>
  <c r="Z140" i="3" s="1"/>
  <c r="A140" i="3"/>
  <c r="B139" i="3"/>
  <c r="C139" i="3" s="1"/>
  <c r="D139" i="3" s="1"/>
  <c r="E139" i="3" s="1"/>
  <c r="Z139" i="3" s="1"/>
  <c r="A139" i="3"/>
  <c r="B138" i="3"/>
  <c r="C138" i="3" s="1"/>
  <c r="D138" i="3" s="1"/>
  <c r="E138" i="3" s="1"/>
  <c r="Z138" i="3" s="1"/>
  <c r="AB138" i="3" s="1"/>
  <c r="A138" i="3"/>
  <c r="B137" i="3"/>
  <c r="C137" i="3" s="1"/>
  <c r="D137" i="3" s="1"/>
  <c r="E137" i="3" s="1"/>
  <c r="Z137" i="3" s="1"/>
  <c r="AB137" i="3" s="1"/>
  <c r="A137" i="3"/>
  <c r="B136" i="3"/>
  <c r="C136" i="3" s="1"/>
  <c r="D136" i="3" s="1"/>
  <c r="E136" i="3" s="1"/>
  <c r="AF156" i="3" s="1"/>
  <c r="A136" i="3"/>
  <c r="B135" i="3"/>
  <c r="C135" i="3" s="1"/>
  <c r="D135" i="3" s="1"/>
  <c r="E135" i="3" s="1"/>
  <c r="AF155" i="3" s="1"/>
  <c r="A135" i="3"/>
  <c r="B134" i="3"/>
  <c r="C134" i="3" s="1"/>
  <c r="D134" i="3" s="1"/>
  <c r="E134" i="3" s="1"/>
  <c r="AF154" i="3" s="1"/>
  <c r="A134" i="3"/>
  <c r="B133" i="3"/>
  <c r="C133" i="3" s="1"/>
  <c r="D133" i="3" s="1"/>
  <c r="E133" i="3" s="1"/>
  <c r="AF153" i="3" s="1"/>
  <c r="A133" i="3"/>
  <c r="B132" i="3"/>
  <c r="C132" i="3" s="1"/>
  <c r="D132" i="3" s="1"/>
  <c r="E132" i="3" s="1"/>
  <c r="Z132" i="3" s="1"/>
  <c r="A132" i="3"/>
  <c r="B131" i="3"/>
  <c r="C131" i="3" s="1"/>
  <c r="D131" i="3" s="1"/>
  <c r="E131" i="3" s="1"/>
  <c r="Z131" i="3" s="1"/>
  <c r="A131" i="3"/>
  <c r="B130" i="3"/>
  <c r="C130" i="3" s="1"/>
  <c r="D130" i="3" s="1"/>
  <c r="E130" i="3" s="1"/>
  <c r="Z130" i="3" s="1"/>
  <c r="AB130" i="3" s="1"/>
  <c r="A130" i="3"/>
  <c r="B129" i="3"/>
  <c r="C129" i="3" s="1"/>
  <c r="D129" i="3" s="1"/>
  <c r="E129" i="3" s="1"/>
  <c r="Z129" i="3" s="1"/>
  <c r="A129" i="3"/>
  <c r="B128" i="3"/>
  <c r="C128" i="3" s="1"/>
  <c r="D128" i="3" s="1"/>
  <c r="E128" i="3" s="1"/>
  <c r="AF148" i="3" s="1"/>
  <c r="A128" i="3"/>
  <c r="B127" i="3"/>
  <c r="C127" i="3" s="1"/>
  <c r="D127" i="3" s="1"/>
  <c r="E127" i="3" s="1"/>
  <c r="AF147" i="3" s="1"/>
  <c r="A127" i="3"/>
  <c r="B126" i="3"/>
  <c r="C126" i="3" s="1"/>
  <c r="D126" i="3" s="1"/>
  <c r="E126" i="3" s="1"/>
  <c r="AF146" i="3" s="1"/>
  <c r="A126" i="3"/>
  <c r="B125" i="3"/>
  <c r="C125" i="3" s="1"/>
  <c r="D125" i="3" s="1"/>
  <c r="E125" i="3" s="1"/>
  <c r="AF145" i="3" s="1"/>
  <c r="A125" i="3"/>
  <c r="B124" i="3"/>
  <c r="C124" i="3" s="1"/>
  <c r="D124" i="3" s="1"/>
  <c r="E124" i="3" s="1"/>
  <c r="Z124" i="3" s="1"/>
  <c r="A124" i="3"/>
  <c r="B123" i="3"/>
  <c r="C123" i="3" s="1"/>
  <c r="D123" i="3" s="1"/>
  <c r="E123" i="3" s="1"/>
  <c r="Z123" i="3" s="1"/>
  <c r="A123" i="3"/>
  <c r="B122" i="3"/>
  <c r="C122" i="3" s="1"/>
  <c r="D122" i="3" s="1"/>
  <c r="E122" i="3" s="1"/>
  <c r="Z122" i="3" s="1"/>
  <c r="AB122" i="3" s="1"/>
  <c r="A122" i="3"/>
  <c r="B121" i="3"/>
  <c r="C121" i="3" s="1"/>
  <c r="D121" i="3" s="1"/>
  <c r="E121" i="3" s="1"/>
  <c r="Z121" i="3" s="1"/>
  <c r="A121" i="3"/>
  <c r="B120" i="3"/>
  <c r="C120" i="3" s="1"/>
  <c r="D120" i="3" s="1"/>
  <c r="E120" i="3" s="1"/>
  <c r="AF140" i="3" s="1"/>
  <c r="A120" i="3"/>
  <c r="B119" i="3"/>
  <c r="C119" i="3" s="1"/>
  <c r="D119" i="3" s="1"/>
  <c r="E119" i="3" s="1"/>
  <c r="AF139" i="3" s="1"/>
  <c r="A119" i="3"/>
  <c r="B118" i="3"/>
  <c r="C118" i="3" s="1"/>
  <c r="D118" i="3" s="1"/>
  <c r="E118" i="3" s="1"/>
  <c r="AF138" i="3" s="1"/>
  <c r="A118" i="3"/>
  <c r="B117" i="3"/>
  <c r="C117" i="3" s="1"/>
  <c r="D117" i="3" s="1"/>
  <c r="E117" i="3" s="1"/>
  <c r="AF137" i="3" s="1"/>
  <c r="A117" i="3"/>
  <c r="B116" i="3"/>
  <c r="C116" i="3" s="1"/>
  <c r="D116" i="3" s="1"/>
  <c r="E116" i="3" s="1"/>
  <c r="Z116" i="3" s="1"/>
  <c r="A116" i="3"/>
  <c r="B115" i="3"/>
  <c r="C115" i="3" s="1"/>
  <c r="D115" i="3" s="1"/>
  <c r="E115" i="3" s="1"/>
  <c r="Z115" i="3" s="1"/>
  <c r="A115" i="3"/>
  <c r="B114" i="3"/>
  <c r="C114" i="3" s="1"/>
  <c r="D114" i="3" s="1"/>
  <c r="E114" i="3" s="1"/>
  <c r="Z114" i="3" s="1"/>
  <c r="AB114" i="3" s="1"/>
  <c r="A114" i="3"/>
  <c r="B113" i="3"/>
  <c r="C113" i="3" s="1"/>
  <c r="D113" i="3" s="1"/>
  <c r="E113" i="3" s="1"/>
  <c r="Z113" i="3" s="1"/>
  <c r="A113" i="3"/>
  <c r="B112" i="3"/>
  <c r="C112" i="3" s="1"/>
  <c r="D112" i="3" s="1"/>
  <c r="E112" i="3" s="1"/>
  <c r="AF132" i="3" s="1"/>
  <c r="A112" i="3"/>
  <c r="B111" i="3"/>
  <c r="C111" i="3" s="1"/>
  <c r="D111" i="3" s="1"/>
  <c r="E111" i="3" s="1"/>
  <c r="AF131" i="3" s="1"/>
  <c r="A111" i="3"/>
  <c r="B110" i="3"/>
  <c r="C110" i="3" s="1"/>
  <c r="D110" i="3" s="1"/>
  <c r="E110" i="3" s="1"/>
  <c r="AF130" i="3" s="1"/>
  <c r="A110" i="3"/>
  <c r="B109" i="3"/>
  <c r="C109" i="3" s="1"/>
  <c r="D109" i="3" s="1"/>
  <c r="E109" i="3" s="1"/>
  <c r="AF129" i="3" s="1"/>
  <c r="A109" i="3"/>
  <c r="B108" i="3"/>
  <c r="C108" i="3" s="1"/>
  <c r="D108" i="3" s="1"/>
  <c r="E108" i="3" s="1"/>
  <c r="Z108" i="3" s="1"/>
  <c r="A108" i="3"/>
  <c r="B107" i="3"/>
  <c r="C107" i="3" s="1"/>
  <c r="D107" i="3" s="1"/>
  <c r="E107" i="3" s="1"/>
  <c r="Z107" i="3" s="1"/>
  <c r="A107" i="3"/>
  <c r="B106" i="3"/>
  <c r="C106" i="3" s="1"/>
  <c r="D106" i="3" s="1"/>
  <c r="E106" i="3" s="1"/>
  <c r="A106" i="3"/>
  <c r="B105" i="3"/>
  <c r="C105" i="3" s="1"/>
  <c r="D105" i="3" s="1"/>
  <c r="E105" i="3" s="1"/>
  <c r="Z105" i="3" s="1"/>
  <c r="AB105" i="3" s="1"/>
  <c r="A105" i="3"/>
  <c r="B104" i="3"/>
  <c r="C104" i="3" s="1"/>
  <c r="D104" i="3" s="1"/>
  <c r="E104" i="3" s="1"/>
  <c r="A104" i="3"/>
  <c r="B103" i="3"/>
  <c r="C103" i="3" s="1"/>
  <c r="D103" i="3" s="1"/>
  <c r="E103" i="3" s="1"/>
  <c r="AF123" i="3" s="1"/>
  <c r="A103" i="3"/>
  <c r="B102" i="3"/>
  <c r="C102" i="3" s="1"/>
  <c r="D102" i="3" s="1"/>
  <c r="E102" i="3" s="1"/>
  <c r="AF122" i="3" s="1"/>
  <c r="A102" i="3"/>
  <c r="B101" i="3"/>
  <c r="C101" i="3" s="1"/>
  <c r="D101" i="3" s="1"/>
  <c r="E101" i="3" s="1"/>
  <c r="AF121" i="3" s="1"/>
  <c r="A101" i="3"/>
  <c r="B100" i="3"/>
  <c r="C100" i="3" s="1"/>
  <c r="D100" i="3" s="1"/>
  <c r="E100" i="3" s="1"/>
  <c r="A100" i="3"/>
  <c r="B99" i="3"/>
  <c r="C99" i="3" s="1"/>
  <c r="D99" i="3" s="1"/>
  <c r="E99" i="3" s="1"/>
  <c r="Z99" i="3" s="1"/>
  <c r="A99" i="3"/>
  <c r="B98" i="3"/>
  <c r="C98" i="3" s="1"/>
  <c r="D98" i="3" s="1"/>
  <c r="E98" i="3" s="1"/>
  <c r="Z98" i="3" s="1"/>
  <c r="AB98" i="3" s="1"/>
  <c r="A98" i="3"/>
  <c r="B97" i="3"/>
  <c r="C97" i="3" s="1"/>
  <c r="D97" i="3" s="1"/>
  <c r="E97" i="3" s="1"/>
  <c r="Z97" i="3" s="1"/>
  <c r="AB97" i="3" s="1"/>
  <c r="A97" i="3"/>
  <c r="B96" i="3"/>
  <c r="C96" i="3" s="1"/>
  <c r="D96" i="3" s="1"/>
  <c r="E96" i="3" s="1"/>
  <c r="AF116" i="3" s="1"/>
  <c r="A96" i="3"/>
  <c r="B95" i="3"/>
  <c r="C95" i="3" s="1"/>
  <c r="D95" i="3" s="1"/>
  <c r="E95" i="3" s="1"/>
  <c r="AF115" i="3" s="1"/>
  <c r="A95" i="3"/>
  <c r="B94" i="3"/>
  <c r="C94" i="3" s="1"/>
  <c r="D94" i="3" s="1"/>
  <c r="E94" i="3" s="1"/>
  <c r="AF114" i="3" s="1"/>
  <c r="A94" i="3"/>
  <c r="B93" i="3"/>
  <c r="C93" i="3" s="1"/>
  <c r="D93" i="3" s="1"/>
  <c r="E93" i="3" s="1"/>
  <c r="AF113" i="3" s="1"/>
  <c r="A93" i="3"/>
  <c r="B92" i="3"/>
  <c r="C92" i="3" s="1"/>
  <c r="D92" i="3" s="1"/>
  <c r="E92" i="3" s="1"/>
  <c r="A92" i="3"/>
  <c r="B91" i="3"/>
  <c r="C91" i="3" s="1"/>
  <c r="D91" i="3" s="1"/>
  <c r="E91" i="3" s="1"/>
  <c r="Z91" i="3" s="1"/>
  <c r="AB92" i="3" s="1"/>
  <c r="A91" i="3"/>
  <c r="B90" i="3"/>
  <c r="C90" i="3" s="1"/>
  <c r="D90" i="3" s="1"/>
  <c r="E90" i="3" s="1"/>
  <c r="Z90" i="3" s="1"/>
  <c r="A90" i="3"/>
  <c r="B89" i="3"/>
  <c r="C89" i="3" s="1"/>
  <c r="D89" i="3" s="1"/>
  <c r="E89" i="3" s="1"/>
  <c r="Z89" i="3" s="1"/>
  <c r="A89" i="3"/>
  <c r="B88" i="3"/>
  <c r="C88" i="3" s="1"/>
  <c r="D88" i="3" s="1"/>
  <c r="E88" i="3" s="1"/>
  <c r="AF108" i="3" s="1"/>
  <c r="A88" i="3"/>
  <c r="B87" i="3"/>
  <c r="C87" i="3" s="1"/>
  <c r="D87" i="3" s="1"/>
  <c r="E87" i="3" s="1"/>
  <c r="AF107" i="3" s="1"/>
  <c r="A87" i="3"/>
  <c r="B86" i="3"/>
  <c r="C86" i="3" s="1"/>
  <c r="D86" i="3" s="1"/>
  <c r="E86" i="3" s="1"/>
  <c r="AF106" i="3" s="1"/>
  <c r="A86" i="3"/>
  <c r="B85" i="3"/>
  <c r="C85" i="3" s="1"/>
  <c r="D85" i="3" s="1"/>
  <c r="E85" i="3" s="1"/>
  <c r="AF105" i="3" s="1"/>
  <c r="A85" i="3"/>
  <c r="B84" i="3"/>
  <c r="C84" i="3" s="1"/>
  <c r="D84" i="3" s="1"/>
  <c r="E84" i="3" s="1"/>
  <c r="A84" i="3"/>
  <c r="B83" i="3"/>
  <c r="C83" i="3" s="1"/>
  <c r="D83" i="3" s="1"/>
  <c r="E83" i="3" s="1"/>
  <c r="Z83" i="3" s="1"/>
  <c r="AB84" i="3" s="1"/>
  <c r="A83" i="3"/>
  <c r="B82" i="3"/>
  <c r="C82" i="3" s="1"/>
  <c r="D82" i="3" s="1"/>
  <c r="E82" i="3" s="1"/>
  <c r="Z82" i="3" s="1"/>
  <c r="A82" i="3"/>
  <c r="B81" i="3"/>
  <c r="C81" i="3" s="1"/>
  <c r="D81" i="3" s="1"/>
  <c r="E81" i="3" s="1"/>
  <c r="Z81" i="3" s="1"/>
  <c r="AB81" i="3" s="1"/>
  <c r="A81" i="3"/>
  <c r="B80" i="3"/>
  <c r="C80" i="3" s="1"/>
  <c r="D80" i="3" s="1"/>
  <c r="E80" i="3" s="1"/>
  <c r="AF100" i="3" s="1"/>
  <c r="A80" i="3"/>
  <c r="B79" i="3"/>
  <c r="C79" i="3" s="1"/>
  <c r="D79" i="3" s="1"/>
  <c r="E79" i="3" s="1"/>
  <c r="AF99" i="3" s="1"/>
  <c r="A79" i="3"/>
  <c r="B78" i="3"/>
  <c r="C78" i="3" s="1"/>
  <c r="D78" i="3" s="1"/>
  <c r="E78" i="3" s="1"/>
  <c r="AF98" i="3" s="1"/>
  <c r="A78" i="3"/>
  <c r="B77" i="3"/>
  <c r="C77" i="3" s="1"/>
  <c r="D77" i="3" s="1"/>
  <c r="E77" i="3" s="1"/>
  <c r="AF97" i="3" s="1"/>
  <c r="A77" i="3"/>
  <c r="B76" i="3"/>
  <c r="C76" i="3" s="1"/>
  <c r="D76" i="3" s="1"/>
  <c r="E76" i="3" s="1"/>
  <c r="Z76" i="3" s="1"/>
  <c r="A76" i="3"/>
  <c r="B75" i="3"/>
  <c r="C75" i="3" s="1"/>
  <c r="D75" i="3" s="1"/>
  <c r="E75" i="3" s="1"/>
  <c r="Z75" i="3" s="1"/>
  <c r="A75" i="3"/>
  <c r="B74" i="3"/>
  <c r="C74" i="3" s="1"/>
  <c r="D74" i="3" s="1"/>
  <c r="E74" i="3" s="1"/>
  <c r="Z74" i="3" s="1"/>
  <c r="AB74" i="3" s="1"/>
  <c r="A74" i="3"/>
  <c r="B73" i="3"/>
  <c r="C73" i="3" s="1"/>
  <c r="D73" i="3" s="1"/>
  <c r="E73" i="3" s="1"/>
  <c r="Z73" i="3" s="1"/>
  <c r="AB73" i="3" s="1"/>
  <c r="A73" i="3"/>
  <c r="B72" i="3"/>
  <c r="C72" i="3" s="1"/>
  <c r="D72" i="3" s="1"/>
  <c r="E72" i="3" s="1"/>
  <c r="AF92" i="3" s="1"/>
  <c r="A72" i="3"/>
  <c r="B71" i="3"/>
  <c r="C71" i="3" s="1"/>
  <c r="D71" i="3" s="1"/>
  <c r="E71" i="3" s="1"/>
  <c r="AF91" i="3" s="1"/>
  <c r="A71" i="3"/>
  <c r="B70" i="3"/>
  <c r="C70" i="3" s="1"/>
  <c r="D70" i="3" s="1"/>
  <c r="E70" i="3" s="1"/>
  <c r="AF90" i="3" s="1"/>
  <c r="A70" i="3"/>
  <c r="B69" i="3"/>
  <c r="C69" i="3" s="1"/>
  <c r="D69" i="3" s="1"/>
  <c r="E69" i="3" s="1"/>
  <c r="AF89" i="3" s="1"/>
  <c r="A69" i="3"/>
  <c r="B68" i="3"/>
  <c r="C68" i="3" s="1"/>
  <c r="D68" i="3" s="1"/>
  <c r="E68" i="3" s="1"/>
  <c r="Z68" i="3" s="1"/>
  <c r="A68" i="3"/>
  <c r="B67" i="3"/>
  <c r="C67" i="3" s="1"/>
  <c r="D67" i="3" s="1"/>
  <c r="E67" i="3" s="1"/>
  <c r="Z67" i="3" s="1"/>
  <c r="A67" i="3"/>
  <c r="C66" i="3"/>
  <c r="D66" i="3" s="1"/>
  <c r="E66" i="3" s="1"/>
  <c r="Z66" i="3" s="1"/>
  <c r="B66" i="3"/>
  <c r="A66" i="3"/>
  <c r="B65" i="3"/>
  <c r="C65" i="3" s="1"/>
  <c r="D65" i="3" s="1"/>
  <c r="E65" i="3" s="1"/>
  <c r="Z65" i="3" s="1"/>
  <c r="A65" i="3"/>
  <c r="B64" i="3"/>
  <c r="C64" i="3" s="1"/>
  <c r="D64" i="3" s="1"/>
  <c r="E64" i="3" s="1"/>
  <c r="AF84" i="3" s="1"/>
  <c r="A64" i="3"/>
  <c r="B63" i="3"/>
  <c r="C63" i="3" s="1"/>
  <c r="D63" i="3" s="1"/>
  <c r="E63" i="3" s="1"/>
  <c r="AF83" i="3" s="1"/>
  <c r="A63" i="3"/>
  <c r="B62" i="3"/>
  <c r="C62" i="3" s="1"/>
  <c r="D62" i="3" s="1"/>
  <c r="E62" i="3" s="1"/>
  <c r="AF82" i="3" s="1"/>
  <c r="A62" i="3"/>
  <c r="B61" i="3"/>
  <c r="C61" i="3" s="1"/>
  <c r="D61" i="3" s="1"/>
  <c r="E61" i="3" s="1"/>
  <c r="AF81" i="3" s="1"/>
  <c r="A61" i="3"/>
  <c r="B60" i="3"/>
  <c r="C60" i="3" s="1"/>
  <c r="D60" i="3" s="1"/>
  <c r="E60" i="3" s="1"/>
  <c r="Z60" i="3" s="1"/>
  <c r="AB60" i="3" s="1"/>
  <c r="A60" i="3"/>
  <c r="B59" i="3"/>
  <c r="C59" i="3" s="1"/>
  <c r="D59" i="3" s="1"/>
  <c r="E59" i="3" s="1"/>
  <c r="Z59" i="3" s="1"/>
  <c r="A59" i="3"/>
  <c r="B58" i="3"/>
  <c r="C58" i="3" s="1"/>
  <c r="D58" i="3" s="1"/>
  <c r="E58" i="3" s="1"/>
  <c r="Z58" i="3" s="1"/>
  <c r="AB58" i="3" s="1"/>
  <c r="A58" i="3"/>
  <c r="B57" i="3"/>
  <c r="C57" i="3" s="1"/>
  <c r="D57" i="3" s="1"/>
  <c r="E57" i="3" s="1"/>
  <c r="Z57" i="3" s="1"/>
  <c r="A57" i="3"/>
  <c r="B56" i="3"/>
  <c r="C56" i="3" s="1"/>
  <c r="D56" i="3" s="1"/>
  <c r="E56" i="3" s="1"/>
  <c r="AF76" i="3" s="1"/>
  <c r="A56" i="3"/>
  <c r="B55" i="3"/>
  <c r="C55" i="3" s="1"/>
  <c r="D55" i="3" s="1"/>
  <c r="E55" i="3" s="1"/>
  <c r="AF75" i="3" s="1"/>
  <c r="A55" i="3"/>
  <c r="B54" i="3"/>
  <c r="C54" i="3" s="1"/>
  <c r="D54" i="3" s="1"/>
  <c r="E54" i="3" s="1"/>
  <c r="AF74" i="3" s="1"/>
  <c r="A54" i="3"/>
  <c r="B53" i="3"/>
  <c r="C53" i="3" s="1"/>
  <c r="D53" i="3" s="1"/>
  <c r="E53" i="3" s="1"/>
  <c r="AF73" i="3" s="1"/>
  <c r="A53" i="3"/>
  <c r="B52" i="3"/>
  <c r="C52" i="3" s="1"/>
  <c r="D52" i="3" s="1"/>
  <c r="E52" i="3" s="1"/>
  <c r="Z52" i="3" s="1"/>
  <c r="AB52" i="3" s="1"/>
  <c r="A52" i="3"/>
  <c r="B51" i="3"/>
  <c r="C51" i="3" s="1"/>
  <c r="D51" i="3" s="1"/>
  <c r="E51" i="3" s="1"/>
  <c r="Z51" i="3" s="1"/>
  <c r="A51" i="3"/>
  <c r="B50" i="3"/>
  <c r="C50" i="3" s="1"/>
  <c r="D50" i="3" s="1"/>
  <c r="E50" i="3" s="1"/>
  <c r="Z50" i="3" s="1"/>
  <c r="A50" i="3"/>
  <c r="B49" i="3"/>
  <c r="C49" i="3" s="1"/>
  <c r="D49" i="3" s="1"/>
  <c r="E49" i="3" s="1"/>
  <c r="Z49" i="3" s="1"/>
  <c r="A49" i="3"/>
  <c r="B48" i="3"/>
  <c r="C48" i="3" s="1"/>
  <c r="D48" i="3" s="1"/>
  <c r="E48" i="3" s="1"/>
  <c r="AF68" i="3" s="1"/>
  <c r="A48" i="3"/>
  <c r="B47" i="3"/>
  <c r="C47" i="3" s="1"/>
  <c r="D47" i="3" s="1"/>
  <c r="E47" i="3" s="1"/>
  <c r="AF67" i="3" s="1"/>
  <c r="A47" i="3"/>
  <c r="B46" i="3"/>
  <c r="C46" i="3" s="1"/>
  <c r="D46" i="3" s="1"/>
  <c r="E46" i="3" s="1"/>
  <c r="AF66" i="3" s="1"/>
  <c r="A46" i="3"/>
  <c r="B45" i="3"/>
  <c r="C45" i="3" s="1"/>
  <c r="D45" i="3" s="1"/>
  <c r="E45" i="3" s="1"/>
  <c r="AF65" i="3" s="1"/>
  <c r="A45" i="3"/>
  <c r="B44" i="3"/>
  <c r="C44" i="3" s="1"/>
  <c r="D44" i="3" s="1"/>
  <c r="E44" i="3" s="1"/>
  <c r="AF64" i="3" s="1"/>
  <c r="A44" i="3"/>
  <c r="B43" i="3"/>
  <c r="C43" i="3" s="1"/>
  <c r="D43" i="3" s="1"/>
  <c r="E43" i="3" s="1"/>
  <c r="AF63" i="3" s="1"/>
  <c r="A43" i="3"/>
  <c r="B42" i="3"/>
  <c r="C42" i="3" s="1"/>
  <c r="D42" i="3" s="1"/>
  <c r="E42" i="3" s="1"/>
  <c r="A42" i="3"/>
  <c r="B41" i="3"/>
  <c r="C41" i="3" s="1"/>
  <c r="D41" i="3" s="1"/>
  <c r="E41" i="3" s="1"/>
  <c r="AF61" i="3" s="1"/>
  <c r="A41" i="3"/>
  <c r="B40" i="3"/>
  <c r="C40" i="3" s="1"/>
  <c r="D40" i="3" s="1"/>
  <c r="E40" i="3" s="1"/>
  <c r="AF60" i="3" s="1"/>
  <c r="A40" i="3"/>
  <c r="B39" i="3"/>
  <c r="C39" i="3" s="1"/>
  <c r="D39" i="3" s="1"/>
  <c r="E39" i="3" s="1"/>
  <c r="AF59" i="3" s="1"/>
  <c r="A39" i="3"/>
  <c r="B38" i="3"/>
  <c r="C38" i="3" s="1"/>
  <c r="D38" i="3" s="1"/>
  <c r="E38" i="3" s="1"/>
  <c r="AF58" i="3" s="1"/>
  <c r="A38" i="3"/>
  <c r="B37" i="3"/>
  <c r="C37" i="3" s="1"/>
  <c r="D37" i="3" s="1"/>
  <c r="E37" i="3" s="1"/>
  <c r="AF57" i="3" s="1"/>
  <c r="A37" i="3"/>
  <c r="B36" i="3"/>
  <c r="C36" i="3" s="1"/>
  <c r="D36" i="3" s="1"/>
  <c r="E36" i="3" s="1"/>
  <c r="AF56" i="3" s="1"/>
  <c r="A36" i="3"/>
  <c r="B35" i="3"/>
  <c r="C35" i="3" s="1"/>
  <c r="D35" i="3" s="1"/>
  <c r="E35" i="3" s="1"/>
  <c r="AF55" i="3" s="1"/>
  <c r="A35" i="3"/>
  <c r="B34" i="3"/>
  <c r="C34" i="3" s="1"/>
  <c r="D34" i="3" s="1"/>
  <c r="E34" i="3" s="1"/>
  <c r="AF54" i="3" s="1"/>
  <c r="A34" i="3"/>
  <c r="B33" i="3"/>
  <c r="C33" i="3" s="1"/>
  <c r="D33" i="3" s="1"/>
  <c r="E33" i="3" s="1"/>
  <c r="AF53" i="3" s="1"/>
  <c r="A33" i="3"/>
  <c r="B32" i="3"/>
  <c r="C32" i="3" s="1"/>
  <c r="D32" i="3" s="1"/>
  <c r="E32" i="3" s="1"/>
  <c r="AF52" i="3" s="1"/>
  <c r="A32" i="3"/>
  <c r="B31" i="3"/>
  <c r="C31" i="3" s="1"/>
  <c r="D31" i="3" s="1"/>
  <c r="E31" i="3" s="1"/>
  <c r="AF51" i="3" s="1"/>
  <c r="A31" i="3"/>
  <c r="B30" i="3"/>
  <c r="C30" i="3" s="1"/>
  <c r="D30" i="3" s="1"/>
  <c r="E30" i="3" s="1"/>
  <c r="AF50" i="3" s="1"/>
  <c r="A30" i="3"/>
  <c r="B29" i="3"/>
  <c r="C29" i="3" s="1"/>
  <c r="D29" i="3" s="1"/>
  <c r="E29" i="3" s="1"/>
  <c r="AF49" i="3" s="1"/>
  <c r="A29" i="3"/>
  <c r="B28" i="3"/>
  <c r="C28" i="3" s="1"/>
  <c r="D28" i="3" s="1"/>
  <c r="E28" i="3" s="1"/>
  <c r="AF48" i="3" s="1"/>
  <c r="A28" i="3"/>
  <c r="B27" i="3"/>
  <c r="C27" i="3" s="1"/>
  <c r="D27" i="3" s="1"/>
  <c r="E27" i="3" s="1"/>
  <c r="A27" i="3"/>
  <c r="B26" i="3"/>
  <c r="C26" i="3" s="1"/>
  <c r="D26" i="3" s="1"/>
  <c r="E26" i="3" s="1"/>
  <c r="A26" i="3"/>
  <c r="B25" i="3"/>
  <c r="C25" i="3" s="1"/>
  <c r="D25" i="3" s="1"/>
  <c r="E25" i="3" s="1"/>
  <c r="A25" i="3"/>
  <c r="B24" i="3"/>
  <c r="C24" i="3" s="1"/>
  <c r="D24" i="3" s="1"/>
  <c r="E24" i="3" s="1"/>
  <c r="A24" i="3"/>
  <c r="B23" i="3"/>
  <c r="C23" i="3" s="1"/>
  <c r="D23" i="3" s="1"/>
  <c r="E23" i="3" s="1"/>
  <c r="A23" i="3"/>
  <c r="B22" i="3"/>
  <c r="C22" i="3" s="1"/>
  <c r="D22" i="3" s="1"/>
  <c r="E22" i="3" s="1"/>
  <c r="A22" i="3"/>
  <c r="B21" i="3"/>
  <c r="C21" i="3" s="1"/>
  <c r="D21" i="3" s="1"/>
  <c r="E21" i="3" s="1"/>
  <c r="A21" i="3"/>
  <c r="B20" i="3"/>
  <c r="C20" i="3" s="1"/>
  <c r="D20" i="3" s="1"/>
  <c r="E20" i="3" s="1"/>
  <c r="A20" i="3"/>
  <c r="B19" i="3"/>
  <c r="C19" i="3" s="1"/>
  <c r="D19" i="3" s="1"/>
  <c r="E19" i="3" s="1"/>
  <c r="A19" i="3"/>
  <c r="B18" i="3"/>
  <c r="C18" i="3" s="1"/>
  <c r="D18" i="3" s="1"/>
  <c r="E18" i="3" s="1"/>
  <c r="A18" i="3"/>
  <c r="B17" i="3"/>
  <c r="C17" i="3" s="1"/>
  <c r="D17" i="3" s="1"/>
  <c r="E17" i="3" s="1"/>
  <c r="A17" i="3"/>
  <c r="B16" i="3"/>
  <c r="C16" i="3" s="1"/>
  <c r="D16" i="3" s="1"/>
  <c r="E16" i="3" s="1"/>
  <c r="A16" i="3"/>
  <c r="B15" i="3"/>
  <c r="C15" i="3" s="1"/>
  <c r="D15" i="3" s="1"/>
  <c r="E15" i="3" s="1"/>
  <c r="A15" i="3"/>
  <c r="B14" i="3"/>
  <c r="C14" i="3" s="1"/>
  <c r="D14" i="3" s="1"/>
  <c r="E14" i="3" s="1"/>
  <c r="A14" i="3"/>
  <c r="B13" i="3"/>
  <c r="C13" i="3" s="1"/>
  <c r="D13" i="3" s="1"/>
  <c r="E13" i="3" s="1"/>
  <c r="A13" i="3"/>
  <c r="B12" i="3"/>
  <c r="C12" i="3" s="1"/>
  <c r="D12" i="3" s="1"/>
  <c r="E12" i="3" s="1"/>
  <c r="A12" i="3"/>
  <c r="B11" i="3"/>
  <c r="C11" i="3" s="1"/>
  <c r="D11" i="3" s="1"/>
  <c r="E11" i="3" s="1"/>
  <c r="A11" i="3"/>
  <c r="B10" i="3"/>
  <c r="C10" i="3" s="1"/>
  <c r="D10" i="3" s="1"/>
  <c r="E10" i="3" s="1"/>
  <c r="A10" i="3"/>
  <c r="B9" i="3"/>
  <c r="C9" i="3" s="1"/>
  <c r="D9" i="3" s="1"/>
  <c r="E9" i="3" s="1"/>
  <c r="A9" i="3"/>
  <c r="B8" i="3"/>
  <c r="C8" i="3" s="1"/>
  <c r="D8" i="3" s="1"/>
  <c r="E8" i="3" s="1"/>
  <c r="A8" i="3"/>
  <c r="B198" i="2"/>
  <c r="C198" i="2" s="1"/>
  <c r="D198" i="2" s="1"/>
  <c r="E198" i="2" s="1"/>
  <c r="A198" i="2"/>
  <c r="B197" i="2"/>
  <c r="C197" i="2" s="1"/>
  <c r="D197" i="2" s="1"/>
  <c r="E197" i="2" s="1"/>
  <c r="A197" i="2"/>
  <c r="B196" i="2"/>
  <c r="C196" i="2" s="1"/>
  <c r="D196" i="2" s="1"/>
  <c r="E196" i="2" s="1"/>
  <c r="A196" i="2"/>
  <c r="C195" i="2"/>
  <c r="D195" i="2" s="1"/>
  <c r="E195" i="2" s="1"/>
  <c r="B195" i="2"/>
  <c r="A195" i="2"/>
  <c r="B194" i="2"/>
  <c r="C194" i="2" s="1"/>
  <c r="D194" i="2" s="1"/>
  <c r="E194" i="2" s="1"/>
  <c r="A194" i="2"/>
  <c r="C193" i="2"/>
  <c r="D193" i="2" s="1"/>
  <c r="E193" i="2" s="1"/>
  <c r="B193" i="2"/>
  <c r="A193" i="2"/>
  <c r="C192" i="2"/>
  <c r="D192" i="2" s="1"/>
  <c r="E192" i="2" s="1"/>
  <c r="B192" i="2"/>
  <c r="A192" i="2"/>
  <c r="C191" i="2"/>
  <c r="D191" i="2" s="1"/>
  <c r="E191" i="2" s="1"/>
  <c r="B191" i="2"/>
  <c r="A191" i="2"/>
  <c r="B190" i="2"/>
  <c r="C190" i="2" s="1"/>
  <c r="D190" i="2" s="1"/>
  <c r="E190" i="2" s="1"/>
  <c r="A190" i="2"/>
  <c r="C189" i="2"/>
  <c r="D189" i="2" s="1"/>
  <c r="E189" i="2" s="1"/>
  <c r="B189" i="2"/>
  <c r="A189" i="2"/>
  <c r="C188" i="2"/>
  <c r="D188" i="2" s="1"/>
  <c r="E188" i="2" s="1"/>
  <c r="B188" i="2"/>
  <c r="A188" i="2"/>
  <c r="C187" i="2"/>
  <c r="D187" i="2" s="1"/>
  <c r="E187" i="2" s="1"/>
  <c r="B187" i="2"/>
  <c r="A187" i="2"/>
  <c r="B186" i="2"/>
  <c r="C186" i="2" s="1"/>
  <c r="D186" i="2" s="1"/>
  <c r="E186" i="2" s="1"/>
  <c r="A186" i="2"/>
  <c r="B185" i="2"/>
  <c r="C185" i="2" s="1"/>
  <c r="D185" i="2" s="1"/>
  <c r="E185" i="2" s="1"/>
  <c r="A185" i="2"/>
  <c r="B184" i="2"/>
  <c r="C184" i="2" s="1"/>
  <c r="D184" i="2" s="1"/>
  <c r="E184" i="2" s="1"/>
  <c r="A184" i="2"/>
  <c r="C183" i="2"/>
  <c r="D183" i="2" s="1"/>
  <c r="E183" i="2" s="1"/>
  <c r="B183" i="2"/>
  <c r="A183" i="2"/>
  <c r="C182" i="2"/>
  <c r="D182" i="2" s="1"/>
  <c r="E182" i="2" s="1"/>
  <c r="B182" i="2"/>
  <c r="A182" i="2"/>
  <c r="C181" i="2"/>
  <c r="D181" i="2" s="1"/>
  <c r="E181" i="2" s="1"/>
  <c r="B181" i="2"/>
  <c r="A181" i="2"/>
  <c r="C180" i="2"/>
  <c r="D180" i="2" s="1"/>
  <c r="E180" i="2" s="1"/>
  <c r="B180" i="2"/>
  <c r="A180" i="2"/>
  <c r="B179" i="2"/>
  <c r="C179" i="2" s="1"/>
  <c r="D179" i="2" s="1"/>
  <c r="E179" i="2" s="1"/>
  <c r="A179" i="2"/>
  <c r="B178" i="2"/>
  <c r="C178" i="2" s="1"/>
  <c r="D178" i="2" s="1"/>
  <c r="E178" i="2" s="1"/>
  <c r="A178" i="2"/>
  <c r="C177" i="2"/>
  <c r="D177" i="2" s="1"/>
  <c r="E177" i="2" s="1"/>
  <c r="B177" i="2"/>
  <c r="A177" i="2"/>
  <c r="B176" i="2"/>
  <c r="C176" i="2" s="1"/>
  <c r="D176" i="2" s="1"/>
  <c r="E176" i="2" s="1"/>
  <c r="A176" i="2"/>
  <c r="C175" i="2"/>
  <c r="D175" i="2" s="1"/>
  <c r="E175" i="2" s="1"/>
  <c r="B175" i="2"/>
  <c r="A175" i="2"/>
  <c r="C174" i="2"/>
  <c r="D174" i="2" s="1"/>
  <c r="E174" i="2" s="1"/>
  <c r="B174" i="2"/>
  <c r="A174" i="2"/>
  <c r="C173" i="2"/>
  <c r="D173" i="2" s="1"/>
  <c r="E173" i="2" s="1"/>
  <c r="B173" i="2"/>
  <c r="A173" i="2"/>
  <c r="B172" i="2"/>
  <c r="C172" i="2" s="1"/>
  <c r="D172" i="2" s="1"/>
  <c r="E172" i="2" s="1"/>
  <c r="A172" i="2"/>
  <c r="C171" i="2"/>
  <c r="D171" i="2" s="1"/>
  <c r="E171" i="2" s="1"/>
  <c r="B171" i="2"/>
  <c r="A171" i="2"/>
  <c r="B170" i="2"/>
  <c r="C170" i="2" s="1"/>
  <c r="D170" i="2" s="1"/>
  <c r="E170" i="2" s="1"/>
  <c r="A170" i="2"/>
  <c r="C169" i="2"/>
  <c r="D169" i="2" s="1"/>
  <c r="E169" i="2" s="1"/>
  <c r="B169" i="2"/>
  <c r="A169" i="2"/>
  <c r="B168" i="2"/>
  <c r="C168" i="2" s="1"/>
  <c r="D168" i="2" s="1"/>
  <c r="E168" i="2" s="1"/>
  <c r="A168" i="2"/>
  <c r="C167" i="2"/>
  <c r="D167" i="2" s="1"/>
  <c r="E167" i="2" s="1"/>
  <c r="B167" i="2"/>
  <c r="A167" i="2"/>
  <c r="B166" i="2"/>
  <c r="C166" i="2" s="1"/>
  <c r="D166" i="2" s="1"/>
  <c r="E166" i="2" s="1"/>
  <c r="A166" i="2"/>
  <c r="B165" i="2"/>
  <c r="C165" i="2" s="1"/>
  <c r="D165" i="2" s="1"/>
  <c r="E165" i="2" s="1"/>
  <c r="A165" i="2"/>
  <c r="B164" i="2"/>
  <c r="C164" i="2" s="1"/>
  <c r="D164" i="2" s="1"/>
  <c r="E164" i="2" s="1"/>
  <c r="A164" i="2"/>
  <c r="C163" i="2"/>
  <c r="D163" i="2" s="1"/>
  <c r="E163" i="2" s="1"/>
  <c r="B163" i="2"/>
  <c r="A163" i="2"/>
  <c r="C162" i="2"/>
  <c r="D162" i="2" s="1"/>
  <c r="E162" i="2" s="1"/>
  <c r="B162" i="2"/>
  <c r="A162" i="2"/>
  <c r="B161" i="2"/>
  <c r="C161" i="2" s="1"/>
  <c r="D161" i="2" s="1"/>
  <c r="E161" i="2" s="1"/>
  <c r="A161" i="2"/>
  <c r="C160" i="2"/>
  <c r="D160" i="2" s="1"/>
  <c r="E160" i="2" s="1"/>
  <c r="B160" i="2"/>
  <c r="A160" i="2"/>
  <c r="C159" i="2"/>
  <c r="D159" i="2" s="1"/>
  <c r="E159" i="2" s="1"/>
  <c r="B159" i="2"/>
  <c r="A159" i="2"/>
  <c r="C158" i="2"/>
  <c r="D158" i="2" s="1"/>
  <c r="E158" i="2" s="1"/>
  <c r="B158" i="2"/>
  <c r="A158" i="2"/>
  <c r="B157" i="2"/>
  <c r="C157" i="2" s="1"/>
  <c r="D157" i="2" s="1"/>
  <c r="E157" i="2" s="1"/>
  <c r="A157" i="2"/>
  <c r="B156" i="2"/>
  <c r="C156" i="2" s="1"/>
  <c r="D156" i="2" s="1"/>
  <c r="E156" i="2" s="1"/>
  <c r="A156" i="2"/>
  <c r="B155" i="2"/>
  <c r="C155" i="2" s="1"/>
  <c r="D155" i="2" s="1"/>
  <c r="E155" i="2" s="1"/>
  <c r="A155" i="2"/>
  <c r="C154" i="2"/>
  <c r="D154" i="2" s="1"/>
  <c r="E154" i="2" s="1"/>
  <c r="B154" i="2"/>
  <c r="A154" i="2"/>
  <c r="B153" i="2"/>
  <c r="C153" i="2" s="1"/>
  <c r="D153" i="2" s="1"/>
  <c r="E153" i="2" s="1"/>
  <c r="A153" i="2"/>
  <c r="C152" i="2"/>
  <c r="D152" i="2" s="1"/>
  <c r="E152" i="2" s="1"/>
  <c r="B152" i="2"/>
  <c r="A152" i="2"/>
  <c r="B151" i="2"/>
  <c r="C151" i="2" s="1"/>
  <c r="D151" i="2" s="1"/>
  <c r="E151" i="2" s="1"/>
  <c r="A151" i="2"/>
  <c r="C150" i="2"/>
  <c r="D150" i="2" s="1"/>
  <c r="E150" i="2" s="1"/>
  <c r="B150" i="2"/>
  <c r="A150" i="2"/>
  <c r="B149" i="2"/>
  <c r="C149" i="2" s="1"/>
  <c r="D149" i="2" s="1"/>
  <c r="E149" i="2" s="1"/>
  <c r="A149" i="2"/>
  <c r="C148" i="2"/>
  <c r="D148" i="2" s="1"/>
  <c r="E148" i="2" s="1"/>
  <c r="B148" i="2"/>
  <c r="A148" i="2"/>
  <c r="B147" i="2"/>
  <c r="C147" i="2" s="1"/>
  <c r="D147" i="2" s="1"/>
  <c r="E147" i="2" s="1"/>
  <c r="A147" i="2"/>
  <c r="C146" i="2"/>
  <c r="D146" i="2" s="1"/>
  <c r="E146" i="2" s="1"/>
  <c r="B146" i="2"/>
  <c r="A146" i="2"/>
  <c r="B145" i="2"/>
  <c r="C145" i="2" s="1"/>
  <c r="D145" i="2" s="1"/>
  <c r="E145" i="2" s="1"/>
  <c r="A145" i="2"/>
  <c r="C144" i="2"/>
  <c r="D144" i="2" s="1"/>
  <c r="E144" i="2" s="1"/>
  <c r="B144" i="2"/>
  <c r="A144" i="2"/>
  <c r="C143" i="2"/>
  <c r="D143" i="2" s="1"/>
  <c r="E143" i="2" s="1"/>
  <c r="B143" i="2"/>
  <c r="A143" i="2"/>
  <c r="C142" i="2"/>
  <c r="D142" i="2" s="1"/>
  <c r="E142" i="2" s="1"/>
  <c r="B142" i="2"/>
  <c r="A142" i="2"/>
  <c r="B141" i="2"/>
  <c r="C141" i="2" s="1"/>
  <c r="D141" i="2" s="1"/>
  <c r="E141" i="2" s="1"/>
  <c r="A141" i="2"/>
  <c r="B140" i="2"/>
  <c r="C140" i="2" s="1"/>
  <c r="D140" i="2" s="1"/>
  <c r="E140" i="2" s="1"/>
  <c r="A140" i="2"/>
  <c r="B139" i="2"/>
  <c r="C139" i="2" s="1"/>
  <c r="D139" i="2" s="1"/>
  <c r="E139" i="2" s="1"/>
  <c r="A139" i="2"/>
  <c r="C138" i="2"/>
  <c r="D138" i="2" s="1"/>
  <c r="E138" i="2" s="1"/>
  <c r="B138" i="2"/>
  <c r="A138" i="2"/>
  <c r="B137" i="2"/>
  <c r="C137" i="2" s="1"/>
  <c r="D137" i="2" s="1"/>
  <c r="E137" i="2" s="1"/>
  <c r="A137" i="2"/>
  <c r="B136" i="2"/>
  <c r="C136" i="2" s="1"/>
  <c r="D136" i="2" s="1"/>
  <c r="E136" i="2" s="1"/>
  <c r="A136" i="2"/>
  <c r="C135" i="2"/>
  <c r="D135" i="2" s="1"/>
  <c r="E135" i="2" s="1"/>
  <c r="B135" i="2"/>
  <c r="A135" i="2"/>
  <c r="C134" i="2"/>
  <c r="D134" i="2" s="1"/>
  <c r="E134" i="2" s="1"/>
  <c r="B134" i="2"/>
  <c r="A134" i="2"/>
  <c r="B133" i="2"/>
  <c r="C133" i="2" s="1"/>
  <c r="D133" i="2" s="1"/>
  <c r="E133" i="2" s="1"/>
  <c r="A133" i="2"/>
  <c r="B132" i="2"/>
  <c r="C132" i="2" s="1"/>
  <c r="D132" i="2" s="1"/>
  <c r="E132" i="2" s="1"/>
  <c r="A132" i="2"/>
  <c r="C131" i="2"/>
  <c r="D131" i="2" s="1"/>
  <c r="E131" i="2" s="1"/>
  <c r="B131" i="2"/>
  <c r="A131" i="2"/>
  <c r="C130" i="2"/>
  <c r="D130" i="2" s="1"/>
  <c r="E130" i="2" s="1"/>
  <c r="B130" i="2"/>
  <c r="A130" i="2"/>
  <c r="B129" i="2"/>
  <c r="C129" i="2" s="1"/>
  <c r="D129" i="2" s="1"/>
  <c r="E129" i="2" s="1"/>
  <c r="A129" i="2"/>
  <c r="C128" i="2"/>
  <c r="D128" i="2" s="1"/>
  <c r="E128" i="2" s="1"/>
  <c r="B128" i="2"/>
  <c r="A128" i="2"/>
  <c r="C127" i="2"/>
  <c r="D127" i="2" s="1"/>
  <c r="E127" i="2" s="1"/>
  <c r="B127" i="2"/>
  <c r="A127" i="2"/>
  <c r="C126" i="2"/>
  <c r="D126" i="2" s="1"/>
  <c r="E126" i="2" s="1"/>
  <c r="B126" i="2"/>
  <c r="A126" i="2"/>
  <c r="B125" i="2"/>
  <c r="C125" i="2" s="1"/>
  <c r="D125" i="2" s="1"/>
  <c r="E125" i="2" s="1"/>
  <c r="A125" i="2"/>
  <c r="B124" i="2"/>
  <c r="C124" i="2" s="1"/>
  <c r="D124" i="2" s="1"/>
  <c r="E124" i="2" s="1"/>
  <c r="A124" i="2"/>
  <c r="B123" i="2"/>
  <c r="C123" i="2" s="1"/>
  <c r="D123" i="2" s="1"/>
  <c r="E123" i="2" s="1"/>
  <c r="A123" i="2"/>
  <c r="C122" i="2"/>
  <c r="D122" i="2" s="1"/>
  <c r="E122" i="2" s="1"/>
  <c r="B122" i="2"/>
  <c r="A122" i="2"/>
  <c r="B121" i="2"/>
  <c r="C121" i="2" s="1"/>
  <c r="D121" i="2" s="1"/>
  <c r="E121" i="2" s="1"/>
  <c r="A121" i="2"/>
  <c r="C120" i="2"/>
  <c r="D120" i="2" s="1"/>
  <c r="E120" i="2" s="1"/>
  <c r="B120" i="2"/>
  <c r="A120" i="2"/>
  <c r="B119" i="2"/>
  <c r="C119" i="2" s="1"/>
  <c r="D119" i="2" s="1"/>
  <c r="E119" i="2" s="1"/>
  <c r="A119" i="2"/>
  <c r="C118" i="2"/>
  <c r="D118" i="2" s="1"/>
  <c r="E118" i="2" s="1"/>
  <c r="B118" i="2"/>
  <c r="A118" i="2"/>
  <c r="B117" i="2"/>
  <c r="C117" i="2" s="1"/>
  <c r="D117" i="2" s="1"/>
  <c r="E117" i="2" s="1"/>
  <c r="A117" i="2"/>
  <c r="C116" i="2"/>
  <c r="D116" i="2" s="1"/>
  <c r="E116" i="2" s="1"/>
  <c r="B116" i="2"/>
  <c r="A116" i="2"/>
  <c r="B115" i="2"/>
  <c r="C115" i="2" s="1"/>
  <c r="D115" i="2" s="1"/>
  <c r="E115" i="2" s="1"/>
  <c r="A115" i="2"/>
  <c r="C114" i="2"/>
  <c r="D114" i="2" s="1"/>
  <c r="E114" i="2" s="1"/>
  <c r="B114" i="2"/>
  <c r="A114" i="2"/>
  <c r="B113" i="2"/>
  <c r="C113" i="2" s="1"/>
  <c r="D113" i="2" s="1"/>
  <c r="E113" i="2" s="1"/>
  <c r="A113" i="2"/>
  <c r="C112" i="2"/>
  <c r="D112" i="2" s="1"/>
  <c r="E112" i="2" s="1"/>
  <c r="B112" i="2"/>
  <c r="A112" i="2"/>
  <c r="C111" i="2"/>
  <c r="D111" i="2" s="1"/>
  <c r="E111" i="2" s="1"/>
  <c r="B111" i="2"/>
  <c r="A111" i="2"/>
  <c r="C110" i="2"/>
  <c r="D110" i="2" s="1"/>
  <c r="E110" i="2" s="1"/>
  <c r="B110" i="2"/>
  <c r="A110" i="2"/>
  <c r="B109" i="2"/>
  <c r="C109" i="2" s="1"/>
  <c r="D109" i="2" s="1"/>
  <c r="E109" i="2" s="1"/>
  <c r="A109" i="2"/>
  <c r="B108" i="2"/>
  <c r="C108" i="2" s="1"/>
  <c r="D108" i="2" s="1"/>
  <c r="E108" i="2" s="1"/>
  <c r="A108" i="2"/>
  <c r="B107" i="2"/>
  <c r="C107" i="2" s="1"/>
  <c r="D107" i="2" s="1"/>
  <c r="E107" i="2" s="1"/>
  <c r="A107" i="2"/>
  <c r="C106" i="2"/>
  <c r="D106" i="2" s="1"/>
  <c r="E106" i="2" s="1"/>
  <c r="B106" i="2"/>
  <c r="A106" i="2"/>
  <c r="B105" i="2"/>
  <c r="C105" i="2" s="1"/>
  <c r="D105" i="2" s="1"/>
  <c r="E105" i="2" s="1"/>
  <c r="A105" i="2"/>
  <c r="B104" i="2"/>
  <c r="C104" i="2" s="1"/>
  <c r="D104" i="2" s="1"/>
  <c r="E104" i="2" s="1"/>
  <c r="A104" i="2"/>
  <c r="C103" i="2"/>
  <c r="D103" i="2" s="1"/>
  <c r="E103" i="2" s="1"/>
  <c r="B103" i="2"/>
  <c r="A103" i="2"/>
  <c r="C102" i="2"/>
  <c r="D102" i="2" s="1"/>
  <c r="E102" i="2" s="1"/>
  <c r="B102" i="2"/>
  <c r="A102" i="2"/>
  <c r="B101" i="2"/>
  <c r="C101" i="2" s="1"/>
  <c r="D101" i="2" s="1"/>
  <c r="E101" i="2" s="1"/>
  <c r="A101" i="2"/>
  <c r="B100" i="2"/>
  <c r="C100" i="2" s="1"/>
  <c r="D100" i="2" s="1"/>
  <c r="E100" i="2" s="1"/>
  <c r="A100" i="2"/>
  <c r="C99" i="2"/>
  <c r="D99" i="2" s="1"/>
  <c r="E99" i="2" s="1"/>
  <c r="B99" i="2"/>
  <c r="A99" i="2"/>
  <c r="C98" i="2"/>
  <c r="D98" i="2" s="1"/>
  <c r="E98" i="2" s="1"/>
  <c r="B98" i="2"/>
  <c r="A98" i="2"/>
  <c r="B97" i="2"/>
  <c r="C97" i="2" s="1"/>
  <c r="D97" i="2" s="1"/>
  <c r="E97" i="2" s="1"/>
  <c r="A97" i="2"/>
  <c r="C96" i="2"/>
  <c r="D96" i="2" s="1"/>
  <c r="E96" i="2" s="1"/>
  <c r="B96" i="2"/>
  <c r="A96" i="2"/>
  <c r="C95" i="2"/>
  <c r="D95" i="2" s="1"/>
  <c r="E95" i="2" s="1"/>
  <c r="B95" i="2"/>
  <c r="A95" i="2"/>
  <c r="C94" i="2"/>
  <c r="D94" i="2" s="1"/>
  <c r="E94" i="2" s="1"/>
  <c r="B94" i="2"/>
  <c r="A94" i="2"/>
  <c r="B93" i="2"/>
  <c r="C93" i="2" s="1"/>
  <c r="D93" i="2" s="1"/>
  <c r="E93" i="2" s="1"/>
  <c r="A93" i="2"/>
  <c r="B92" i="2"/>
  <c r="C92" i="2" s="1"/>
  <c r="D92" i="2" s="1"/>
  <c r="E92" i="2" s="1"/>
  <c r="A92" i="2"/>
  <c r="B91" i="2"/>
  <c r="C91" i="2" s="1"/>
  <c r="D91" i="2" s="1"/>
  <c r="E91" i="2" s="1"/>
  <c r="A91" i="2"/>
  <c r="C90" i="2"/>
  <c r="D90" i="2" s="1"/>
  <c r="E90" i="2" s="1"/>
  <c r="B90" i="2"/>
  <c r="A90" i="2"/>
  <c r="B89" i="2"/>
  <c r="C89" i="2" s="1"/>
  <c r="D89" i="2" s="1"/>
  <c r="E89" i="2" s="1"/>
  <c r="A89" i="2"/>
  <c r="C88" i="2"/>
  <c r="D88" i="2" s="1"/>
  <c r="E88" i="2" s="1"/>
  <c r="B88" i="2"/>
  <c r="A88" i="2"/>
  <c r="B87" i="2"/>
  <c r="C87" i="2" s="1"/>
  <c r="D87" i="2" s="1"/>
  <c r="E87" i="2" s="1"/>
  <c r="A87" i="2"/>
  <c r="C86" i="2"/>
  <c r="D86" i="2" s="1"/>
  <c r="E86" i="2" s="1"/>
  <c r="B86" i="2"/>
  <c r="A86" i="2"/>
  <c r="B85" i="2"/>
  <c r="C85" i="2" s="1"/>
  <c r="D85" i="2" s="1"/>
  <c r="E85" i="2" s="1"/>
  <c r="A85" i="2"/>
  <c r="C84" i="2"/>
  <c r="D84" i="2" s="1"/>
  <c r="E84" i="2" s="1"/>
  <c r="B84" i="2"/>
  <c r="A84" i="2"/>
  <c r="B83" i="2"/>
  <c r="C83" i="2" s="1"/>
  <c r="D83" i="2" s="1"/>
  <c r="E83" i="2" s="1"/>
  <c r="A83" i="2"/>
  <c r="C82" i="2"/>
  <c r="D82" i="2" s="1"/>
  <c r="E82" i="2" s="1"/>
  <c r="B82" i="2"/>
  <c r="A82" i="2"/>
  <c r="B81" i="2"/>
  <c r="C81" i="2" s="1"/>
  <c r="D81" i="2" s="1"/>
  <c r="E81" i="2" s="1"/>
  <c r="A81" i="2"/>
  <c r="C80" i="2"/>
  <c r="D80" i="2" s="1"/>
  <c r="E80" i="2" s="1"/>
  <c r="B80" i="2"/>
  <c r="A80" i="2"/>
  <c r="C79" i="2"/>
  <c r="D79" i="2" s="1"/>
  <c r="E79" i="2" s="1"/>
  <c r="B79" i="2"/>
  <c r="A79" i="2"/>
  <c r="C78" i="2"/>
  <c r="D78" i="2" s="1"/>
  <c r="E78" i="2" s="1"/>
  <c r="B78" i="2"/>
  <c r="A78" i="2"/>
  <c r="B77" i="2"/>
  <c r="C77" i="2" s="1"/>
  <c r="D77" i="2" s="1"/>
  <c r="E77" i="2" s="1"/>
  <c r="A77" i="2"/>
  <c r="B76" i="2"/>
  <c r="C76" i="2" s="1"/>
  <c r="D76" i="2" s="1"/>
  <c r="E76" i="2" s="1"/>
  <c r="A76" i="2"/>
  <c r="B75" i="2"/>
  <c r="C75" i="2" s="1"/>
  <c r="D75" i="2" s="1"/>
  <c r="E75" i="2" s="1"/>
  <c r="A75" i="2"/>
  <c r="C74" i="2"/>
  <c r="D74" i="2" s="1"/>
  <c r="E74" i="2" s="1"/>
  <c r="B74" i="2"/>
  <c r="A74" i="2"/>
  <c r="B73" i="2"/>
  <c r="C73" i="2" s="1"/>
  <c r="D73" i="2" s="1"/>
  <c r="E73" i="2" s="1"/>
  <c r="A73" i="2"/>
  <c r="B72" i="2"/>
  <c r="C72" i="2" s="1"/>
  <c r="D72" i="2" s="1"/>
  <c r="E72" i="2" s="1"/>
  <c r="A72" i="2"/>
  <c r="C71" i="2"/>
  <c r="D71" i="2" s="1"/>
  <c r="E71" i="2" s="1"/>
  <c r="B71" i="2"/>
  <c r="A71" i="2"/>
  <c r="C70" i="2"/>
  <c r="D70" i="2" s="1"/>
  <c r="E70" i="2" s="1"/>
  <c r="B70" i="2"/>
  <c r="A70" i="2"/>
  <c r="B69" i="2"/>
  <c r="C69" i="2" s="1"/>
  <c r="D69" i="2" s="1"/>
  <c r="E69" i="2" s="1"/>
  <c r="A69" i="2"/>
  <c r="B68" i="2"/>
  <c r="C68" i="2" s="1"/>
  <c r="D68" i="2" s="1"/>
  <c r="E68" i="2" s="1"/>
  <c r="A68" i="2"/>
  <c r="C67" i="2"/>
  <c r="D67" i="2" s="1"/>
  <c r="E67" i="2" s="1"/>
  <c r="B67" i="2"/>
  <c r="A67" i="2"/>
  <c r="C66" i="2"/>
  <c r="D66" i="2" s="1"/>
  <c r="E66" i="2" s="1"/>
  <c r="B66" i="2"/>
  <c r="A66" i="2"/>
  <c r="B65" i="2"/>
  <c r="C65" i="2" s="1"/>
  <c r="D65" i="2" s="1"/>
  <c r="E65" i="2" s="1"/>
  <c r="A65" i="2"/>
  <c r="C64" i="2"/>
  <c r="D64" i="2" s="1"/>
  <c r="E64" i="2" s="1"/>
  <c r="B64" i="2"/>
  <c r="A64" i="2"/>
  <c r="C63" i="2"/>
  <c r="D63" i="2" s="1"/>
  <c r="E63" i="2" s="1"/>
  <c r="B63" i="2"/>
  <c r="A63" i="2"/>
  <c r="C62" i="2"/>
  <c r="D62" i="2" s="1"/>
  <c r="E62" i="2" s="1"/>
  <c r="B62" i="2"/>
  <c r="A62" i="2"/>
  <c r="B61" i="2"/>
  <c r="C61" i="2" s="1"/>
  <c r="D61" i="2" s="1"/>
  <c r="E61" i="2" s="1"/>
  <c r="A61" i="2"/>
  <c r="B60" i="2"/>
  <c r="C60" i="2" s="1"/>
  <c r="D60" i="2" s="1"/>
  <c r="E60" i="2" s="1"/>
  <c r="A60" i="2"/>
  <c r="B59" i="2"/>
  <c r="C59" i="2" s="1"/>
  <c r="D59" i="2" s="1"/>
  <c r="E59" i="2" s="1"/>
  <c r="A59" i="2"/>
  <c r="C58" i="2"/>
  <c r="D58" i="2" s="1"/>
  <c r="E58" i="2" s="1"/>
  <c r="B58" i="2"/>
  <c r="A58" i="2"/>
  <c r="B57" i="2"/>
  <c r="C57" i="2" s="1"/>
  <c r="D57" i="2" s="1"/>
  <c r="E57" i="2" s="1"/>
  <c r="A57" i="2"/>
  <c r="C56" i="2"/>
  <c r="D56" i="2" s="1"/>
  <c r="E56" i="2" s="1"/>
  <c r="B56" i="2"/>
  <c r="A56" i="2"/>
  <c r="B55" i="2"/>
  <c r="C55" i="2" s="1"/>
  <c r="D55" i="2" s="1"/>
  <c r="E55" i="2" s="1"/>
  <c r="A55" i="2"/>
  <c r="C54" i="2"/>
  <c r="D54" i="2" s="1"/>
  <c r="E54" i="2" s="1"/>
  <c r="B54" i="2"/>
  <c r="A54" i="2"/>
  <c r="B53" i="2"/>
  <c r="C53" i="2" s="1"/>
  <c r="D53" i="2" s="1"/>
  <c r="E53" i="2" s="1"/>
  <c r="A53" i="2"/>
  <c r="C52" i="2"/>
  <c r="D52" i="2" s="1"/>
  <c r="E52" i="2" s="1"/>
  <c r="B52" i="2"/>
  <c r="A52" i="2"/>
  <c r="B51" i="2"/>
  <c r="C51" i="2" s="1"/>
  <c r="D51" i="2" s="1"/>
  <c r="E51" i="2" s="1"/>
  <c r="A51" i="2"/>
  <c r="C50" i="2"/>
  <c r="D50" i="2" s="1"/>
  <c r="E50" i="2" s="1"/>
  <c r="B50" i="2"/>
  <c r="A50" i="2"/>
  <c r="B49" i="2"/>
  <c r="C49" i="2" s="1"/>
  <c r="D49" i="2" s="1"/>
  <c r="E49" i="2" s="1"/>
  <c r="A49" i="2"/>
  <c r="C48" i="2"/>
  <c r="D48" i="2" s="1"/>
  <c r="E48" i="2" s="1"/>
  <c r="B48" i="2"/>
  <c r="A48" i="2"/>
  <c r="C47" i="2"/>
  <c r="D47" i="2" s="1"/>
  <c r="E47" i="2" s="1"/>
  <c r="B47" i="2"/>
  <c r="A47" i="2"/>
  <c r="C46" i="2"/>
  <c r="D46" i="2" s="1"/>
  <c r="E46" i="2" s="1"/>
  <c r="B46" i="2"/>
  <c r="A46" i="2"/>
  <c r="C45" i="2"/>
  <c r="D45" i="2" s="1"/>
  <c r="E45" i="2" s="1"/>
  <c r="B45" i="2"/>
  <c r="A45" i="2"/>
  <c r="B44" i="2"/>
  <c r="C44" i="2" s="1"/>
  <c r="D44" i="2" s="1"/>
  <c r="E44" i="2" s="1"/>
  <c r="A44" i="2"/>
  <c r="C43" i="2"/>
  <c r="D43" i="2" s="1"/>
  <c r="E43" i="2" s="1"/>
  <c r="B43" i="2"/>
  <c r="A43" i="2"/>
  <c r="C42" i="2"/>
  <c r="D42" i="2" s="1"/>
  <c r="E42" i="2" s="1"/>
  <c r="B42" i="2"/>
  <c r="A42" i="2"/>
  <c r="B41" i="2"/>
  <c r="C41" i="2" s="1"/>
  <c r="D41" i="2" s="1"/>
  <c r="E41" i="2" s="1"/>
  <c r="A41" i="2"/>
  <c r="B40" i="2"/>
  <c r="C40" i="2" s="1"/>
  <c r="D40" i="2" s="1"/>
  <c r="E40" i="2" s="1"/>
  <c r="A40" i="2"/>
  <c r="B39" i="2"/>
  <c r="C39" i="2" s="1"/>
  <c r="D39" i="2" s="1"/>
  <c r="E39" i="2" s="1"/>
  <c r="A39" i="2"/>
  <c r="C38" i="2"/>
  <c r="D38" i="2" s="1"/>
  <c r="E38" i="2" s="1"/>
  <c r="B38" i="2"/>
  <c r="A38" i="2"/>
  <c r="C37" i="2"/>
  <c r="D37" i="2" s="1"/>
  <c r="E37" i="2" s="1"/>
  <c r="B37" i="2"/>
  <c r="A37" i="2"/>
  <c r="B36" i="2"/>
  <c r="C36" i="2" s="1"/>
  <c r="D36" i="2" s="1"/>
  <c r="E36" i="2" s="1"/>
  <c r="A36" i="2"/>
  <c r="C35" i="2"/>
  <c r="D35" i="2" s="1"/>
  <c r="E35" i="2" s="1"/>
  <c r="B35" i="2"/>
  <c r="A35" i="2"/>
  <c r="B34" i="2"/>
  <c r="C34" i="2" s="1"/>
  <c r="D34" i="2" s="1"/>
  <c r="E34" i="2" s="1"/>
  <c r="A34" i="2"/>
  <c r="C33" i="2"/>
  <c r="D33" i="2" s="1"/>
  <c r="E33" i="2" s="1"/>
  <c r="B33" i="2"/>
  <c r="A33" i="2"/>
  <c r="B32" i="2"/>
  <c r="C32" i="2" s="1"/>
  <c r="D32" i="2" s="1"/>
  <c r="E32" i="2" s="1"/>
  <c r="A32" i="2"/>
  <c r="B31" i="2"/>
  <c r="C31" i="2" s="1"/>
  <c r="D31" i="2" s="1"/>
  <c r="E31" i="2" s="1"/>
  <c r="A31" i="2"/>
  <c r="C30" i="2"/>
  <c r="D30" i="2" s="1"/>
  <c r="E30" i="2" s="1"/>
  <c r="B30" i="2"/>
  <c r="A30" i="2"/>
  <c r="C29" i="2"/>
  <c r="D29" i="2" s="1"/>
  <c r="E29" i="2" s="1"/>
  <c r="B29" i="2"/>
  <c r="A29" i="2"/>
  <c r="B28" i="2"/>
  <c r="C28" i="2" s="1"/>
  <c r="D28" i="2" s="1"/>
  <c r="E28" i="2" s="1"/>
  <c r="A28" i="2"/>
  <c r="C27" i="2"/>
  <c r="D27" i="2" s="1"/>
  <c r="E27" i="2" s="1"/>
  <c r="B27" i="2"/>
  <c r="A27" i="2"/>
  <c r="B26" i="2"/>
  <c r="C26" i="2" s="1"/>
  <c r="D26" i="2" s="1"/>
  <c r="E26" i="2" s="1"/>
  <c r="A26" i="2"/>
  <c r="C25" i="2"/>
  <c r="D25" i="2" s="1"/>
  <c r="E25" i="2" s="1"/>
  <c r="B25" i="2"/>
  <c r="A25" i="2"/>
  <c r="B24" i="2"/>
  <c r="C24" i="2" s="1"/>
  <c r="D24" i="2" s="1"/>
  <c r="E24" i="2" s="1"/>
  <c r="A24" i="2"/>
  <c r="B23" i="2"/>
  <c r="C23" i="2" s="1"/>
  <c r="D23" i="2" s="1"/>
  <c r="E23" i="2" s="1"/>
  <c r="A23" i="2"/>
  <c r="C22" i="2"/>
  <c r="D22" i="2" s="1"/>
  <c r="E22" i="2" s="1"/>
  <c r="B22" i="2"/>
  <c r="A22" i="2"/>
  <c r="C21" i="2"/>
  <c r="D21" i="2" s="1"/>
  <c r="E21" i="2" s="1"/>
  <c r="B21" i="2"/>
  <c r="A21" i="2"/>
  <c r="B20" i="2"/>
  <c r="C20" i="2" s="1"/>
  <c r="D20" i="2" s="1"/>
  <c r="E20" i="2" s="1"/>
  <c r="A20" i="2"/>
  <c r="C19" i="2"/>
  <c r="D19" i="2" s="1"/>
  <c r="E19" i="2" s="1"/>
  <c r="B19" i="2"/>
  <c r="A19" i="2"/>
  <c r="B18" i="2"/>
  <c r="C18" i="2" s="1"/>
  <c r="D18" i="2" s="1"/>
  <c r="E18" i="2" s="1"/>
  <c r="A18" i="2"/>
  <c r="C17" i="2"/>
  <c r="D17" i="2" s="1"/>
  <c r="E17" i="2" s="1"/>
  <c r="B17" i="2"/>
  <c r="A17" i="2"/>
  <c r="B16" i="2"/>
  <c r="C16" i="2" s="1"/>
  <c r="D16" i="2" s="1"/>
  <c r="E16" i="2" s="1"/>
  <c r="A16" i="2"/>
  <c r="B15" i="2"/>
  <c r="C15" i="2" s="1"/>
  <c r="D15" i="2" s="1"/>
  <c r="E15" i="2" s="1"/>
  <c r="A15" i="2"/>
  <c r="C14" i="2"/>
  <c r="D14" i="2" s="1"/>
  <c r="E14" i="2" s="1"/>
  <c r="B14" i="2"/>
  <c r="A14" i="2"/>
  <c r="C13" i="2"/>
  <c r="D13" i="2" s="1"/>
  <c r="E13" i="2" s="1"/>
  <c r="B13" i="2"/>
  <c r="A13" i="2"/>
  <c r="B12" i="2"/>
  <c r="C12" i="2" s="1"/>
  <c r="D12" i="2" s="1"/>
  <c r="E12" i="2" s="1"/>
  <c r="A12" i="2"/>
  <c r="C11" i="2"/>
  <c r="D11" i="2" s="1"/>
  <c r="E11" i="2" s="1"/>
  <c r="B11" i="2"/>
  <c r="A11" i="2"/>
  <c r="B10" i="2"/>
  <c r="C10" i="2" s="1"/>
  <c r="D10" i="2" s="1"/>
  <c r="E10" i="2" s="1"/>
  <c r="A10" i="2"/>
  <c r="C9" i="2"/>
  <c r="D9" i="2" s="1"/>
  <c r="E9" i="2" s="1"/>
  <c r="B9" i="2"/>
  <c r="A9" i="2"/>
  <c r="B8" i="2"/>
  <c r="C8" i="2" s="1"/>
  <c r="D8" i="2" s="1"/>
  <c r="E8" i="2" s="1"/>
  <c r="A8" i="2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AB67" i="3" l="1"/>
  <c r="AB66" i="3"/>
  <c r="AB83" i="3"/>
  <c r="AB82" i="3"/>
  <c r="AB91" i="3"/>
  <c r="Z106" i="3"/>
  <c r="AB106" i="3" s="1"/>
  <c r="AF126" i="3"/>
  <c r="AB147" i="3"/>
  <c r="AB194" i="3"/>
  <c r="AB195" i="3"/>
  <c r="AB51" i="3"/>
  <c r="AB109" i="3"/>
  <c r="AB99" i="3"/>
  <c r="AB100" i="3"/>
  <c r="AB68" i="3"/>
  <c r="AB76" i="3"/>
  <c r="AB108" i="3"/>
  <c r="AB116" i="3"/>
  <c r="AB124" i="3"/>
  <c r="AB132" i="3"/>
  <c r="AB133" i="3"/>
  <c r="AB140" i="3"/>
  <c r="AB148" i="3"/>
  <c r="AB149" i="3"/>
  <c r="AB172" i="3"/>
  <c r="AB136" i="3"/>
  <c r="AB50" i="3"/>
  <c r="AB113" i="3"/>
  <c r="AB121" i="3"/>
  <c r="AB129" i="3"/>
  <c r="Z48" i="3"/>
  <c r="AB48" i="3" s="1"/>
  <c r="Z128" i="3"/>
  <c r="Z120" i="3"/>
  <c r="Z112" i="3"/>
  <c r="AB112" i="3" s="1"/>
  <c r="Z64" i="3"/>
  <c r="AB65" i="3" s="1"/>
  <c r="Z56" i="3"/>
  <c r="AB152" i="3"/>
  <c r="AB144" i="3"/>
  <c r="AF144" i="3"/>
  <c r="AF136" i="3"/>
  <c r="AF128" i="3"/>
  <c r="AF80" i="3"/>
  <c r="AF72" i="3"/>
  <c r="Z143" i="3"/>
  <c r="AB143" i="3" s="1"/>
  <c r="Z135" i="3"/>
  <c r="AB135" i="3" s="1"/>
  <c r="Z127" i="3"/>
  <c r="AB127" i="3" s="1"/>
  <c r="Z119" i="3"/>
  <c r="AB119" i="3" s="1"/>
  <c r="Z111" i="3"/>
  <c r="Z103" i="3"/>
  <c r="AB104" i="3" s="1"/>
  <c r="Z95" i="3"/>
  <c r="Z87" i="3"/>
  <c r="AB88" i="3" s="1"/>
  <c r="Z79" i="3"/>
  <c r="AB80" i="3" s="1"/>
  <c r="Z71" i="3"/>
  <c r="AB71" i="3" s="1"/>
  <c r="Z63" i="3"/>
  <c r="Z55" i="3"/>
  <c r="AB56" i="3" s="1"/>
  <c r="Z151" i="3"/>
  <c r="AF191" i="3"/>
  <c r="AF183" i="3"/>
  <c r="AF175" i="3"/>
  <c r="AF167" i="3"/>
  <c r="AF159" i="3"/>
  <c r="AF151" i="3"/>
  <c r="AF143" i="3"/>
  <c r="AF135" i="3"/>
  <c r="AF127" i="3"/>
  <c r="AF119" i="3"/>
  <c r="AF111" i="3"/>
  <c r="AF103" i="3"/>
  <c r="AF95" i="3"/>
  <c r="AF87" i="3"/>
  <c r="AF79" i="3"/>
  <c r="AF71" i="3"/>
  <c r="Z126" i="3"/>
  <c r="AB126" i="3" s="1"/>
  <c r="Z118" i="3"/>
  <c r="AB118" i="3" s="1"/>
  <c r="Z110" i="3"/>
  <c r="AB110" i="3" s="1"/>
  <c r="Z102" i="3"/>
  <c r="AB102" i="3" s="1"/>
  <c r="Z94" i="3"/>
  <c r="AB94" i="3" s="1"/>
  <c r="Z86" i="3"/>
  <c r="AB86" i="3" s="1"/>
  <c r="Z78" i="3"/>
  <c r="AB78" i="3" s="1"/>
  <c r="Z70" i="3"/>
  <c r="Z150" i="3"/>
  <c r="AB150" i="3" s="1"/>
  <c r="AF142" i="3"/>
  <c r="AF134" i="3"/>
  <c r="AF118" i="3"/>
  <c r="AF110" i="3"/>
  <c r="AF102" i="3"/>
  <c r="AF94" i="3"/>
  <c r="AF86" i="3"/>
  <c r="Z93" i="3"/>
  <c r="AB93" i="3" s="1"/>
  <c r="Z85" i="3"/>
  <c r="AB85" i="3" s="1"/>
  <c r="Z77" i="3"/>
  <c r="AB77" i="3" s="1"/>
  <c r="Z69" i="3"/>
  <c r="AB69" i="3" s="1"/>
  <c r="Z61" i="3"/>
  <c r="AB61" i="3" s="1"/>
  <c r="Z53" i="3"/>
  <c r="AB53" i="3" s="1"/>
  <c r="AF125" i="3"/>
  <c r="AF117" i="3"/>
  <c r="AF109" i="3"/>
  <c r="AF101" i="3"/>
  <c r="AF93" i="3"/>
  <c r="AF85" i="3"/>
  <c r="AF77" i="3"/>
  <c r="AF69" i="3"/>
  <c r="AF196" i="3"/>
  <c r="AF188" i="3"/>
  <c r="AF180" i="3"/>
  <c r="AB192" i="3"/>
  <c r="AB184" i="3"/>
  <c r="AB176" i="3"/>
  <c r="AB168" i="3"/>
  <c r="AF195" i="3"/>
  <c r="AF187" i="3"/>
  <c r="AF179" i="3"/>
  <c r="AF194" i="3"/>
  <c r="AF186" i="3"/>
  <c r="AF178" i="3"/>
  <c r="AF193" i="3"/>
  <c r="AF185" i="3"/>
  <c r="AF177" i="3"/>
  <c r="AB155" i="3"/>
  <c r="AB146" i="3"/>
  <c r="AB90" i="3"/>
  <c r="AB59" i="3"/>
  <c r="AB75" i="3"/>
  <c r="AB107" i="3"/>
  <c r="AB103" i="3"/>
  <c r="AB139" i="3"/>
  <c r="AB131" i="3"/>
  <c r="AB123" i="3"/>
  <c r="AB115" i="3"/>
  <c r="AB89" i="3"/>
  <c r="AB57" i="3"/>
  <c r="AB62" i="3"/>
  <c r="AB70" i="3"/>
  <c r="AB64" i="3" l="1"/>
  <c r="AB63" i="3"/>
  <c r="AB79" i="3"/>
  <c r="AB55" i="3"/>
  <c r="AB72" i="3"/>
  <c r="AB95" i="3"/>
  <c r="AB96" i="3"/>
  <c r="AB49" i="3"/>
  <c r="AB87" i="3"/>
  <c r="AB120" i="3"/>
  <c r="AB151" i="3"/>
  <c r="AB111" i="3"/>
  <c r="AB128" i="3"/>
  <c r="AB54" i="3"/>
</calcChain>
</file>

<file path=xl/sharedStrings.xml><?xml version="1.0" encoding="utf-8"?>
<sst xmlns="http://schemas.openxmlformats.org/spreadsheetml/2006/main" count="952" uniqueCount="36">
  <si>
    <t>MF52E-503H3950FAL36 NTC Thermistor R-T Table</t>
  </si>
  <si>
    <t>Part No.</t>
  </si>
  <si>
    <t>MF52E-503H3950FAL36</t>
  </si>
  <si>
    <t>R25 (25°C)</t>
  </si>
  <si>
    <t>50 kΩ ±3%</t>
  </si>
  <si>
    <t>B25/50</t>
  </si>
  <si>
    <t>3950 K ±1%</t>
  </si>
  <si>
    <t>Operating Range</t>
  </si>
  <si>
    <t>-40°C ~ +125°C</t>
  </si>
  <si>
    <t>Source</t>
  </si>
  <si>
    <t>Ampron MO190160 (2019-08-14)</t>
  </si>
  <si>
    <t>T (°C)</t>
  </si>
  <si>
    <t>Rmin (kΩ)</t>
  </si>
  <si>
    <t>Rnom (kΩ)</t>
  </si>
  <si>
    <t>Rmax (kΩ)</t>
  </si>
  <si>
    <t>Tolerance (±%)</t>
  </si>
  <si>
    <r>
      <rPr>
        <b/>
        <sz val="14"/>
        <color rgb="FFFFFFFF"/>
        <rFont val="Arial"/>
        <family val="2"/>
      </rPr>
      <t xml:space="preserve">Pull-up </t>
    </r>
    <r>
      <rPr>
        <b/>
        <sz val="14"/>
        <color rgb="FFFFFFFF"/>
        <rFont val="DejaVu Sans"/>
        <family val="2"/>
      </rPr>
      <t xml:space="preserve">방식 — </t>
    </r>
    <r>
      <rPr>
        <b/>
        <sz val="14"/>
        <color rgb="FFFFFFFF"/>
        <rFont val="Arial"/>
        <family val="2"/>
      </rPr>
      <t>VDD─[Rpull]─(ADC)─[NTC]─GND   (T↑ → V_ADC↓)</t>
    </r>
  </si>
  <si>
    <t>VDD (V)</t>
  </si>
  <si>
    <r>
      <rPr>
        <b/>
        <sz val="10"/>
        <rFont val="Arial"/>
        <family val="2"/>
      </rPr>
      <t xml:space="preserve">Pull </t>
    </r>
    <r>
      <rPr>
        <b/>
        <sz val="10"/>
        <rFont val="DejaVu Sans"/>
        <family val="2"/>
      </rPr>
      <t xml:space="preserve">저항 </t>
    </r>
    <r>
      <rPr>
        <b/>
        <sz val="10"/>
        <rFont val="Arial"/>
        <family val="2"/>
      </rPr>
      <t>(kΩ)</t>
    </r>
  </si>
  <si>
    <r>
      <rPr>
        <b/>
        <sz val="10"/>
        <rFont val="Arial"/>
        <family val="2"/>
      </rPr>
      <t xml:space="preserve">ADC </t>
    </r>
    <r>
      <rPr>
        <b/>
        <sz val="10"/>
        <rFont val="DejaVu Sans"/>
        <family val="2"/>
      </rPr>
      <t xml:space="preserve">해상도 </t>
    </r>
    <r>
      <rPr>
        <b/>
        <sz val="10"/>
        <rFont val="Arial"/>
        <family val="2"/>
      </rPr>
      <t>(bit)</t>
    </r>
  </si>
  <si>
    <t>회로 구성</t>
  </si>
  <si>
    <t>VDD ─[Rpull]─ (ADC) ─[NTC]─ GND    |    V_ADC = VDD × Rntc / (Rpull + Rntc)</t>
  </si>
  <si>
    <t>V_ADC (V)</t>
  </si>
  <si>
    <t>V/VDD</t>
  </si>
  <si>
    <t>ADC count</t>
  </si>
  <si>
    <t>비고</t>
  </si>
  <si>
    <t>동작 범위 끝</t>
  </si>
  <si>
    <r>
      <rPr>
        <sz val="10"/>
        <rFont val="Arial"/>
        <family val="2"/>
      </rPr>
      <t xml:space="preserve">← R25 </t>
    </r>
    <r>
      <rPr>
        <sz val="10"/>
        <rFont val="DejaVu Sans"/>
        <family val="2"/>
      </rPr>
      <t>기준</t>
    </r>
  </si>
  <si>
    <r>
      <rPr>
        <b/>
        <sz val="14"/>
        <color rgb="FFFFFFFF"/>
        <rFont val="Arial"/>
        <family val="2"/>
      </rPr>
      <t xml:space="preserve">Pull-down </t>
    </r>
    <r>
      <rPr>
        <b/>
        <sz val="14"/>
        <color rgb="FFFFFFFF"/>
        <rFont val="DejaVu Sans"/>
        <family val="2"/>
      </rPr>
      <t xml:space="preserve">방식 — </t>
    </r>
    <r>
      <rPr>
        <b/>
        <sz val="14"/>
        <color rgb="FFFFFFFF"/>
        <rFont val="Arial"/>
        <family val="2"/>
      </rPr>
      <t>VDD─[NTC]─(ADC)─[Rpull]─GND   (T↑ → V_ADC↑)</t>
    </r>
  </si>
  <si>
    <t>VDD ─[NTC]─ (ADC) ─[Rpull]─ GND    |    V_ADC = VDD × Rpull / (Rntc + Rpull)</t>
  </si>
  <si>
    <t>[</t>
    <phoneticPr fontId="15" type="noConversion"/>
  </si>
  <si>
    <t>]</t>
    <phoneticPr fontId="15" type="noConversion"/>
  </si>
  <si>
    <t>=</t>
    <phoneticPr fontId="15" type="noConversion"/>
  </si>
  <si>
    <t>,</t>
    <phoneticPr fontId="15" type="noConversion"/>
  </si>
  <si>
    <t>Temp_Table</t>
    <phoneticPr fontId="15" type="noConversion"/>
  </si>
  <si>
    <t>;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</si>
</sst>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0070C0"/>
      <name val="Arial"/>
      <charset val="1"/>
    </font>
    <font>
      <b/>
      <sz val="14"/>
      <color rgb="FFFFFFFF"/>
      <name val="DejaVu Sans"/>
      <family val="2"/>
    </font>
    <font>
      <b/>
      <sz val="10"/>
      <color rgb="FF0000FF"/>
      <name val="Arial"/>
      <family val="2"/>
    </font>
    <font>
      <b/>
      <sz val="10"/>
      <name val="DejaVu Sans"/>
      <family val="2"/>
    </font>
    <font>
      <b/>
      <sz val="11"/>
      <color rgb="FFFFFFFF"/>
      <name val="DejaVu Sans"/>
      <family val="2"/>
    </font>
    <font>
      <sz val="10"/>
      <color rgb="FF008000"/>
      <name val="Arial"/>
      <family val="2"/>
    </font>
    <font>
      <sz val="10"/>
      <name val="DejaVu Sans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78787"/>
      <rgbColor rgb="FF9999FF"/>
      <rgbColor rgb="FFBE4B48"/>
      <rgbColor rgb="FFFFF2CC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NTC R-T Curve (Rnom)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'R-T Table'!$C$8</c:f>
              <c:strCache>
                <c:ptCount val="1"/>
                <c:pt idx="0">
                  <c:v>Rnom (kΩ)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'R-T Table'!$A$9:$A$199</c:f>
              <c:numCache>
                <c:formatCode>General</c:formatCode>
                <c:ptCount val="191"/>
                <c:pt idx="0">
                  <c:v>-40</c:v>
                </c:pt>
                <c:pt idx="1">
                  <c:v>-39</c:v>
                </c:pt>
                <c:pt idx="2">
                  <c:v>-38</c:v>
                </c:pt>
                <c:pt idx="3">
                  <c:v>-37</c:v>
                </c:pt>
                <c:pt idx="4">
                  <c:v>-36</c:v>
                </c:pt>
                <c:pt idx="5">
                  <c:v>-35</c:v>
                </c:pt>
                <c:pt idx="6">
                  <c:v>-34</c:v>
                </c:pt>
                <c:pt idx="7">
                  <c:v>-33</c:v>
                </c:pt>
                <c:pt idx="8">
                  <c:v>-32</c:v>
                </c:pt>
                <c:pt idx="9">
                  <c:v>-31</c:v>
                </c:pt>
                <c:pt idx="10">
                  <c:v>-30</c:v>
                </c:pt>
                <c:pt idx="11">
                  <c:v>-29</c:v>
                </c:pt>
                <c:pt idx="12">
                  <c:v>-28</c:v>
                </c:pt>
                <c:pt idx="13">
                  <c:v>-27</c:v>
                </c:pt>
                <c:pt idx="14">
                  <c:v>-26</c:v>
                </c:pt>
                <c:pt idx="15">
                  <c:v>-25</c:v>
                </c:pt>
                <c:pt idx="16">
                  <c:v>-24</c:v>
                </c:pt>
                <c:pt idx="17">
                  <c:v>-23</c:v>
                </c:pt>
                <c:pt idx="18">
                  <c:v>-22</c:v>
                </c:pt>
                <c:pt idx="19">
                  <c:v>-21</c:v>
                </c:pt>
                <c:pt idx="20">
                  <c:v>-20</c:v>
                </c:pt>
                <c:pt idx="21">
                  <c:v>-19</c:v>
                </c:pt>
                <c:pt idx="22">
                  <c:v>-18</c:v>
                </c:pt>
                <c:pt idx="23">
                  <c:v>-17</c:v>
                </c:pt>
                <c:pt idx="24">
                  <c:v>-16</c:v>
                </c:pt>
                <c:pt idx="25">
                  <c:v>-15</c:v>
                </c:pt>
                <c:pt idx="26">
                  <c:v>-14</c:v>
                </c:pt>
                <c:pt idx="27">
                  <c:v>-13</c:v>
                </c:pt>
                <c:pt idx="28">
                  <c:v>-12</c:v>
                </c:pt>
                <c:pt idx="29">
                  <c:v>-11</c:v>
                </c:pt>
                <c:pt idx="30">
                  <c:v>-10</c:v>
                </c:pt>
                <c:pt idx="31">
                  <c:v>-9</c:v>
                </c:pt>
                <c:pt idx="32">
                  <c:v>-8</c:v>
                </c:pt>
                <c:pt idx="33">
                  <c:v>-7</c:v>
                </c:pt>
                <c:pt idx="34">
                  <c:v>-6</c:v>
                </c:pt>
                <c:pt idx="35">
                  <c:v>-5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-1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61</c:v>
                </c:pt>
                <c:pt idx="102">
                  <c:v>62</c:v>
                </c:pt>
                <c:pt idx="103">
                  <c:v>63</c:v>
                </c:pt>
                <c:pt idx="104">
                  <c:v>64</c:v>
                </c:pt>
                <c:pt idx="105">
                  <c:v>65</c:v>
                </c:pt>
                <c:pt idx="106">
                  <c:v>66</c:v>
                </c:pt>
                <c:pt idx="107">
                  <c:v>67</c:v>
                </c:pt>
                <c:pt idx="108">
                  <c:v>68</c:v>
                </c:pt>
                <c:pt idx="109">
                  <c:v>69</c:v>
                </c:pt>
                <c:pt idx="110">
                  <c:v>70</c:v>
                </c:pt>
                <c:pt idx="111">
                  <c:v>71</c:v>
                </c:pt>
                <c:pt idx="112">
                  <c:v>72</c:v>
                </c:pt>
                <c:pt idx="113">
                  <c:v>73</c:v>
                </c:pt>
                <c:pt idx="114">
                  <c:v>74</c:v>
                </c:pt>
                <c:pt idx="115">
                  <c:v>75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80</c:v>
                </c:pt>
                <c:pt idx="121">
                  <c:v>81</c:v>
                </c:pt>
                <c:pt idx="122">
                  <c:v>82</c:v>
                </c:pt>
                <c:pt idx="123">
                  <c:v>83</c:v>
                </c:pt>
                <c:pt idx="124">
                  <c:v>84</c:v>
                </c:pt>
                <c:pt idx="125">
                  <c:v>85</c:v>
                </c:pt>
                <c:pt idx="126">
                  <c:v>86</c:v>
                </c:pt>
                <c:pt idx="127">
                  <c:v>87</c:v>
                </c:pt>
                <c:pt idx="128">
                  <c:v>88</c:v>
                </c:pt>
                <c:pt idx="129">
                  <c:v>89</c:v>
                </c:pt>
                <c:pt idx="130">
                  <c:v>90</c:v>
                </c:pt>
                <c:pt idx="131">
                  <c:v>91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96</c:v>
                </c:pt>
                <c:pt idx="137">
                  <c:v>97</c:v>
                </c:pt>
                <c:pt idx="138">
                  <c:v>98</c:v>
                </c:pt>
                <c:pt idx="139">
                  <c:v>99</c:v>
                </c:pt>
                <c:pt idx="140">
                  <c:v>100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105</c:v>
                </c:pt>
                <c:pt idx="146">
                  <c:v>106</c:v>
                </c:pt>
                <c:pt idx="147">
                  <c:v>107</c:v>
                </c:pt>
                <c:pt idx="148">
                  <c:v>108</c:v>
                </c:pt>
                <c:pt idx="149">
                  <c:v>109</c:v>
                </c:pt>
                <c:pt idx="150">
                  <c:v>110</c:v>
                </c:pt>
                <c:pt idx="151">
                  <c:v>111</c:v>
                </c:pt>
                <c:pt idx="152">
                  <c:v>112</c:v>
                </c:pt>
                <c:pt idx="153">
                  <c:v>113</c:v>
                </c:pt>
                <c:pt idx="154">
                  <c:v>114</c:v>
                </c:pt>
                <c:pt idx="155">
                  <c:v>115</c:v>
                </c:pt>
                <c:pt idx="156">
                  <c:v>116</c:v>
                </c:pt>
                <c:pt idx="157">
                  <c:v>117</c:v>
                </c:pt>
                <c:pt idx="158">
                  <c:v>118</c:v>
                </c:pt>
                <c:pt idx="159">
                  <c:v>119</c:v>
                </c:pt>
                <c:pt idx="160">
                  <c:v>120</c:v>
                </c:pt>
                <c:pt idx="161">
                  <c:v>121</c:v>
                </c:pt>
                <c:pt idx="162">
                  <c:v>122</c:v>
                </c:pt>
                <c:pt idx="163">
                  <c:v>123</c:v>
                </c:pt>
                <c:pt idx="164">
                  <c:v>124</c:v>
                </c:pt>
                <c:pt idx="165">
                  <c:v>125</c:v>
                </c:pt>
                <c:pt idx="166">
                  <c:v>126</c:v>
                </c:pt>
                <c:pt idx="167">
                  <c:v>127</c:v>
                </c:pt>
                <c:pt idx="168">
                  <c:v>128</c:v>
                </c:pt>
                <c:pt idx="169">
                  <c:v>129</c:v>
                </c:pt>
                <c:pt idx="170">
                  <c:v>130</c:v>
                </c:pt>
                <c:pt idx="171">
                  <c:v>131</c:v>
                </c:pt>
                <c:pt idx="172">
                  <c:v>132</c:v>
                </c:pt>
                <c:pt idx="173">
                  <c:v>133</c:v>
                </c:pt>
                <c:pt idx="174">
                  <c:v>134</c:v>
                </c:pt>
                <c:pt idx="175">
                  <c:v>135</c:v>
                </c:pt>
                <c:pt idx="176">
                  <c:v>136</c:v>
                </c:pt>
                <c:pt idx="177">
                  <c:v>137</c:v>
                </c:pt>
                <c:pt idx="178">
                  <c:v>138</c:v>
                </c:pt>
                <c:pt idx="179">
                  <c:v>139</c:v>
                </c:pt>
                <c:pt idx="180">
                  <c:v>140</c:v>
                </c:pt>
                <c:pt idx="181">
                  <c:v>141</c:v>
                </c:pt>
                <c:pt idx="182">
                  <c:v>142</c:v>
                </c:pt>
                <c:pt idx="183">
                  <c:v>143</c:v>
                </c:pt>
                <c:pt idx="184">
                  <c:v>144</c:v>
                </c:pt>
                <c:pt idx="185">
                  <c:v>145</c:v>
                </c:pt>
                <c:pt idx="186">
                  <c:v>146</c:v>
                </c:pt>
                <c:pt idx="187">
                  <c:v>147</c:v>
                </c:pt>
                <c:pt idx="188">
                  <c:v>148</c:v>
                </c:pt>
                <c:pt idx="189">
                  <c:v>149</c:v>
                </c:pt>
                <c:pt idx="190">
                  <c:v>150</c:v>
                </c:pt>
              </c:numCache>
            </c:numRef>
          </c:cat>
          <c:val>
            <c:numRef>
              <c:f>'R-T Table'!$C$9:$C$199</c:f>
              <c:numCache>
                <c:formatCode>0.000</c:formatCode>
                <c:ptCount val="191"/>
                <c:pt idx="0">
                  <c:v>1675.991</c:v>
                </c:pt>
                <c:pt idx="1">
                  <c:v>1566.079</c:v>
                </c:pt>
                <c:pt idx="2">
                  <c:v>1464.8119999999999</c:v>
                </c:pt>
                <c:pt idx="3">
                  <c:v>1371.336</c:v>
                </c:pt>
                <c:pt idx="4">
                  <c:v>1284.8989999999999</c:v>
                </c:pt>
                <c:pt idx="5">
                  <c:v>1204.8440000000001</c:v>
                </c:pt>
                <c:pt idx="6">
                  <c:v>1130.5820000000001</c:v>
                </c:pt>
                <c:pt idx="7">
                  <c:v>1061.5989999999999</c:v>
                </c:pt>
                <c:pt idx="8">
                  <c:v>997.43499999999995</c:v>
                </c:pt>
                <c:pt idx="9">
                  <c:v>937.67899999999997</c:v>
                </c:pt>
                <c:pt idx="10">
                  <c:v>881.96600000000001</c:v>
                </c:pt>
                <c:pt idx="11">
                  <c:v>829.96799999999996</c:v>
                </c:pt>
                <c:pt idx="12">
                  <c:v>781.38900000000001</c:v>
                </c:pt>
                <c:pt idx="13">
                  <c:v>735.96500000000003</c:v>
                </c:pt>
                <c:pt idx="14">
                  <c:v>693.45500000000004</c:v>
                </c:pt>
                <c:pt idx="15">
                  <c:v>653.64300000000003</c:v>
                </c:pt>
                <c:pt idx="16">
                  <c:v>616.33199999999999</c:v>
                </c:pt>
                <c:pt idx="17">
                  <c:v>581.34100000000001</c:v>
                </c:pt>
                <c:pt idx="18">
                  <c:v>548.50900000000001</c:v>
                </c:pt>
                <c:pt idx="19">
                  <c:v>517.68499999999995</c:v>
                </c:pt>
                <c:pt idx="20">
                  <c:v>488.73200000000003</c:v>
                </c:pt>
                <c:pt idx="21">
                  <c:v>461.52499999999998</c:v>
                </c:pt>
                <c:pt idx="22">
                  <c:v>435.94799999999998</c:v>
                </c:pt>
                <c:pt idx="23">
                  <c:v>411.89499999999998</c:v>
                </c:pt>
                <c:pt idx="24">
                  <c:v>389.26799999999997</c:v>
                </c:pt>
                <c:pt idx="25">
                  <c:v>367.97399999999999</c:v>
                </c:pt>
                <c:pt idx="26">
                  <c:v>347.93099999999998</c:v>
                </c:pt>
                <c:pt idx="27">
                  <c:v>329.05900000000003</c:v>
                </c:pt>
                <c:pt idx="28">
                  <c:v>311.28699999999998</c:v>
                </c:pt>
                <c:pt idx="29">
                  <c:v>294.54700000000003</c:v>
                </c:pt>
                <c:pt idx="30">
                  <c:v>278.77499999999998</c:v>
                </c:pt>
                <c:pt idx="31">
                  <c:v>263.91399999999999</c:v>
                </c:pt>
                <c:pt idx="32">
                  <c:v>249.90700000000001</c:v>
                </c:pt>
                <c:pt idx="33">
                  <c:v>236.70500000000001</c:v>
                </c:pt>
                <c:pt idx="34">
                  <c:v>224.25800000000001</c:v>
                </c:pt>
                <c:pt idx="35">
                  <c:v>212.52199999999999</c:v>
                </c:pt>
                <c:pt idx="36">
                  <c:v>201.45599999999999</c:v>
                </c:pt>
                <c:pt idx="37">
                  <c:v>191.03899999999999</c:v>
                </c:pt>
                <c:pt idx="38">
                  <c:v>181.17400000000001</c:v>
                </c:pt>
                <c:pt idx="39">
                  <c:v>171.887</c:v>
                </c:pt>
                <c:pt idx="40">
                  <c:v>163.126</c:v>
                </c:pt>
                <c:pt idx="41">
                  <c:v>154.85900000000001</c:v>
                </c:pt>
                <c:pt idx="42">
                  <c:v>147.05799999999999</c:v>
                </c:pt>
                <c:pt idx="43">
                  <c:v>139.696</c:v>
                </c:pt>
                <c:pt idx="44">
                  <c:v>132.74700000000001</c:v>
                </c:pt>
                <c:pt idx="45">
                  <c:v>126.187</c:v>
                </c:pt>
                <c:pt idx="46">
                  <c:v>119.994</c:v>
                </c:pt>
                <c:pt idx="47">
                  <c:v>114.14700000000001</c:v>
                </c:pt>
                <c:pt idx="48">
                  <c:v>108.626</c:v>
                </c:pt>
                <c:pt idx="49">
                  <c:v>103.411</c:v>
                </c:pt>
                <c:pt idx="50">
                  <c:v>98.486000000000004</c:v>
                </c:pt>
                <c:pt idx="51">
                  <c:v>93.832999999999998</c:v>
                </c:pt>
                <c:pt idx="52">
                  <c:v>89.436999999999998</c:v>
                </c:pt>
                <c:pt idx="53">
                  <c:v>85.283000000000001</c:v>
                </c:pt>
                <c:pt idx="54">
                  <c:v>81.358000000000004</c:v>
                </c:pt>
                <c:pt idx="55">
                  <c:v>77.647000000000006</c:v>
                </c:pt>
                <c:pt idx="56">
                  <c:v>74.14</c:v>
                </c:pt>
                <c:pt idx="57">
                  <c:v>70.823999999999998</c:v>
                </c:pt>
                <c:pt idx="58">
                  <c:v>67.688999999999993</c:v>
                </c:pt>
                <c:pt idx="59">
                  <c:v>64.722999999999999</c:v>
                </c:pt>
                <c:pt idx="60">
                  <c:v>61.917999999999999</c:v>
                </c:pt>
                <c:pt idx="61">
                  <c:v>59.265000000000001</c:v>
                </c:pt>
                <c:pt idx="62">
                  <c:v>56.753999999999998</c:v>
                </c:pt>
                <c:pt idx="63">
                  <c:v>54.378</c:v>
                </c:pt>
                <c:pt idx="64">
                  <c:v>52.128999999999998</c:v>
                </c:pt>
                <c:pt idx="65">
                  <c:v>50</c:v>
                </c:pt>
                <c:pt idx="66">
                  <c:v>47.862000000000002</c:v>
                </c:pt>
                <c:pt idx="67">
                  <c:v>45.826000000000001</c:v>
                </c:pt>
                <c:pt idx="68">
                  <c:v>43.886000000000003</c:v>
                </c:pt>
                <c:pt idx="69">
                  <c:v>42.039000000000001</c:v>
                </c:pt>
                <c:pt idx="70">
                  <c:v>40.279000000000003</c:v>
                </c:pt>
                <c:pt idx="71">
                  <c:v>38.600999999999999</c:v>
                </c:pt>
                <c:pt idx="72">
                  <c:v>37.002000000000002</c:v>
                </c:pt>
                <c:pt idx="73">
                  <c:v>35.476999999999997</c:v>
                </c:pt>
                <c:pt idx="74">
                  <c:v>34.021999999999998</c:v>
                </c:pt>
                <c:pt idx="75">
                  <c:v>32.634999999999998</c:v>
                </c:pt>
                <c:pt idx="76">
                  <c:v>31.311</c:v>
                </c:pt>
                <c:pt idx="77">
                  <c:v>30.047999999999998</c:v>
                </c:pt>
                <c:pt idx="78">
                  <c:v>28.841999999999999</c:v>
                </c:pt>
                <c:pt idx="79">
                  <c:v>27.69</c:v>
                </c:pt>
                <c:pt idx="80">
                  <c:v>26.591000000000001</c:v>
                </c:pt>
                <c:pt idx="81">
                  <c:v>25.54</c:v>
                </c:pt>
                <c:pt idx="82">
                  <c:v>24.536999999999999</c:v>
                </c:pt>
                <c:pt idx="83">
                  <c:v>23.577000000000002</c:v>
                </c:pt>
                <c:pt idx="84">
                  <c:v>22.661000000000001</c:v>
                </c:pt>
                <c:pt idx="85">
                  <c:v>21.783999999999999</c:v>
                </c:pt>
                <c:pt idx="86">
                  <c:v>20.946000000000002</c:v>
                </c:pt>
                <c:pt idx="87">
                  <c:v>20.143999999999998</c:v>
                </c:pt>
                <c:pt idx="88">
                  <c:v>19.376999999999999</c:v>
                </c:pt>
                <c:pt idx="89">
                  <c:v>18.643000000000001</c:v>
                </c:pt>
                <c:pt idx="90">
                  <c:v>17.940999999999999</c:v>
                </c:pt>
                <c:pt idx="91">
                  <c:v>17.268999999999998</c:v>
                </c:pt>
                <c:pt idx="92">
                  <c:v>16.625</c:v>
                </c:pt>
                <c:pt idx="93">
                  <c:v>16.007999999999999</c:v>
                </c:pt>
                <c:pt idx="94">
                  <c:v>15.417</c:v>
                </c:pt>
                <c:pt idx="95">
                  <c:v>14.851000000000001</c:v>
                </c:pt>
                <c:pt idx="96">
                  <c:v>14.308999999999999</c:v>
                </c:pt>
                <c:pt idx="97">
                  <c:v>13.789</c:v>
                </c:pt>
                <c:pt idx="98">
                  <c:v>13.291</c:v>
                </c:pt>
                <c:pt idx="99">
                  <c:v>12.813000000000001</c:v>
                </c:pt>
                <c:pt idx="100">
                  <c:v>12.355</c:v>
                </c:pt>
                <c:pt idx="101">
                  <c:v>11.914999999999999</c:v>
                </c:pt>
                <c:pt idx="102">
                  <c:v>11.493</c:v>
                </c:pt>
                <c:pt idx="103">
                  <c:v>11.087999999999999</c:v>
                </c:pt>
                <c:pt idx="104">
                  <c:v>10.7</c:v>
                </c:pt>
                <c:pt idx="105">
                  <c:v>10.327</c:v>
                </c:pt>
                <c:pt idx="106">
                  <c:v>9.968</c:v>
                </c:pt>
                <c:pt idx="107">
                  <c:v>9.6240000000000006</c:v>
                </c:pt>
                <c:pt idx="108">
                  <c:v>9.2940000000000005</c:v>
                </c:pt>
                <c:pt idx="109">
                  <c:v>8.9760000000000009</c:v>
                </c:pt>
                <c:pt idx="110">
                  <c:v>8.6709999999999994</c:v>
                </c:pt>
                <c:pt idx="111">
                  <c:v>8.3780000000000001</c:v>
                </c:pt>
                <c:pt idx="112">
                  <c:v>8.0960000000000001</c:v>
                </c:pt>
                <c:pt idx="113">
                  <c:v>7.8250000000000002</c:v>
                </c:pt>
                <c:pt idx="114">
                  <c:v>7.5640000000000001</c:v>
                </c:pt>
                <c:pt idx="115">
                  <c:v>7.3129999999999997</c:v>
                </c:pt>
                <c:pt idx="116">
                  <c:v>7.0720000000000001</c:v>
                </c:pt>
                <c:pt idx="117">
                  <c:v>6.84</c:v>
                </c:pt>
                <c:pt idx="118">
                  <c:v>6.6159999999999997</c:v>
                </c:pt>
                <c:pt idx="119">
                  <c:v>6.4009999999999998</c:v>
                </c:pt>
                <c:pt idx="120">
                  <c:v>6.194</c:v>
                </c:pt>
                <c:pt idx="121">
                  <c:v>5.9950000000000001</c:v>
                </c:pt>
                <c:pt idx="122">
                  <c:v>5.8029999999999999</c:v>
                </c:pt>
                <c:pt idx="123">
                  <c:v>5.6180000000000003</c:v>
                </c:pt>
                <c:pt idx="124">
                  <c:v>5.44</c:v>
                </c:pt>
                <c:pt idx="125">
                  <c:v>5.2679999999999998</c:v>
                </c:pt>
                <c:pt idx="126">
                  <c:v>5.1020000000000003</c:v>
                </c:pt>
                <c:pt idx="127">
                  <c:v>4.9429999999999996</c:v>
                </c:pt>
                <c:pt idx="128">
                  <c:v>4.7889999999999997</c:v>
                </c:pt>
                <c:pt idx="129">
                  <c:v>4.641</c:v>
                </c:pt>
                <c:pt idx="130">
                  <c:v>4.4980000000000002</c:v>
                </c:pt>
                <c:pt idx="131">
                  <c:v>4.3600000000000003</c:v>
                </c:pt>
                <c:pt idx="132">
                  <c:v>4.2270000000000003</c:v>
                </c:pt>
                <c:pt idx="133">
                  <c:v>4.0979999999999999</c:v>
                </c:pt>
                <c:pt idx="134">
                  <c:v>3.9740000000000002</c:v>
                </c:pt>
                <c:pt idx="135">
                  <c:v>3.855</c:v>
                </c:pt>
                <c:pt idx="136">
                  <c:v>3.7389999999999999</c:v>
                </c:pt>
                <c:pt idx="137">
                  <c:v>3.6280000000000001</c:v>
                </c:pt>
                <c:pt idx="138">
                  <c:v>3.52</c:v>
                </c:pt>
                <c:pt idx="139">
                  <c:v>3.4159999999999999</c:v>
                </c:pt>
                <c:pt idx="140">
                  <c:v>3.3159999999999998</c:v>
                </c:pt>
                <c:pt idx="141">
                  <c:v>3.2189999999999999</c:v>
                </c:pt>
                <c:pt idx="142">
                  <c:v>3.125</c:v>
                </c:pt>
                <c:pt idx="143">
                  <c:v>3.0339999999999998</c:v>
                </c:pt>
                <c:pt idx="144">
                  <c:v>2.9470000000000001</c:v>
                </c:pt>
                <c:pt idx="145">
                  <c:v>2.8620000000000001</c:v>
                </c:pt>
                <c:pt idx="146">
                  <c:v>2.78</c:v>
                </c:pt>
                <c:pt idx="147">
                  <c:v>2.7010000000000001</c:v>
                </c:pt>
                <c:pt idx="148">
                  <c:v>2.6240000000000001</c:v>
                </c:pt>
                <c:pt idx="149">
                  <c:v>2.5499999999999998</c:v>
                </c:pt>
                <c:pt idx="150">
                  <c:v>2.4790000000000001</c:v>
                </c:pt>
                <c:pt idx="151">
                  <c:v>2.4089999999999998</c:v>
                </c:pt>
                <c:pt idx="152">
                  <c:v>2.3420000000000001</c:v>
                </c:pt>
                <c:pt idx="153">
                  <c:v>2.2770000000000001</c:v>
                </c:pt>
                <c:pt idx="154">
                  <c:v>2.2149999999999999</c:v>
                </c:pt>
                <c:pt idx="155">
                  <c:v>2.1539999999999999</c:v>
                </c:pt>
                <c:pt idx="156">
                  <c:v>2.0950000000000002</c:v>
                </c:pt>
                <c:pt idx="157">
                  <c:v>2.0379999999999998</c:v>
                </c:pt>
                <c:pt idx="158">
                  <c:v>1.9830000000000001</c:v>
                </c:pt>
                <c:pt idx="159">
                  <c:v>1.929</c:v>
                </c:pt>
                <c:pt idx="160">
                  <c:v>1.877</c:v>
                </c:pt>
                <c:pt idx="161">
                  <c:v>1.827</c:v>
                </c:pt>
                <c:pt idx="162">
                  <c:v>1.778</c:v>
                </c:pt>
                <c:pt idx="163">
                  <c:v>1.7310000000000001</c:v>
                </c:pt>
                <c:pt idx="164">
                  <c:v>1.6850000000000001</c:v>
                </c:pt>
                <c:pt idx="165">
                  <c:v>1.641</c:v>
                </c:pt>
                <c:pt idx="166">
                  <c:v>1.5980000000000001</c:v>
                </c:pt>
                <c:pt idx="167">
                  <c:v>1.556</c:v>
                </c:pt>
                <c:pt idx="168">
                  <c:v>1.516</c:v>
                </c:pt>
                <c:pt idx="169">
                  <c:v>1.4770000000000001</c:v>
                </c:pt>
                <c:pt idx="170">
                  <c:v>1.4390000000000001</c:v>
                </c:pt>
                <c:pt idx="171">
                  <c:v>1.4019999999999999</c:v>
                </c:pt>
                <c:pt idx="172">
                  <c:v>1.3660000000000001</c:v>
                </c:pt>
                <c:pt idx="173">
                  <c:v>1.331</c:v>
                </c:pt>
                <c:pt idx="174">
                  <c:v>1.298</c:v>
                </c:pt>
                <c:pt idx="175">
                  <c:v>1.2649999999999999</c:v>
                </c:pt>
                <c:pt idx="176">
                  <c:v>1.2330000000000001</c:v>
                </c:pt>
                <c:pt idx="177">
                  <c:v>1.202</c:v>
                </c:pt>
                <c:pt idx="178">
                  <c:v>1.1719999999999999</c:v>
                </c:pt>
                <c:pt idx="179">
                  <c:v>1.143</c:v>
                </c:pt>
                <c:pt idx="180">
                  <c:v>1.115</c:v>
                </c:pt>
                <c:pt idx="181">
                  <c:v>1.0880000000000001</c:v>
                </c:pt>
                <c:pt idx="182">
                  <c:v>1.0609999999999999</c:v>
                </c:pt>
                <c:pt idx="183">
                  <c:v>1.0349999999999999</c:v>
                </c:pt>
                <c:pt idx="184">
                  <c:v>1.01</c:v>
                </c:pt>
                <c:pt idx="185">
                  <c:v>0.98499999999999999</c:v>
                </c:pt>
                <c:pt idx="186">
                  <c:v>0.96199999999999997</c:v>
                </c:pt>
                <c:pt idx="187">
                  <c:v>0.93899999999999995</c:v>
                </c:pt>
                <c:pt idx="188">
                  <c:v>0.91600000000000004</c:v>
                </c:pt>
                <c:pt idx="189">
                  <c:v>0.89400000000000002</c:v>
                </c:pt>
                <c:pt idx="190">
                  <c:v>0.873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DA-4C42-9726-633EAD85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099467"/>
        <c:axId val="63689310"/>
      </c:lineChart>
      <c:catAx>
        <c:axId val="35099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Temperature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63689310"/>
        <c:crosses val="autoZero"/>
        <c:auto val="1"/>
        <c:lblAlgn val="ctr"/>
        <c:lblOffset val="100"/>
        <c:noMultiLvlLbl val="0"/>
      </c:catAx>
      <c:valAx>
        <c:axId val="636893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Resistance (k</a:t>
                </a:r>
                <a:r>
                  <a:rPr lang="el-G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Ω)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350994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ADC count: Pull-up vs Pull-down (</a:t>
            </a:r>
            <a:r>
              <a:rPr lang="ko-KR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기본 파라미터</a:t>
            </a:r>
            <a:r>
              <a:rPr lang="en-US" altLang="ko-KR" sz="1800" b="1" u="none" strike="noStrike">
                <a:solidFill>
                  <a:srgbClr val="000000"/>
                </a:solidFill>
                <a:uFillTx/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Pull-up</c:v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'ADC Pull-down'!$A$8:$A$198</c:f>
              <c:numCache>
                <c:formatCode>General</c:formatCode>
                <c:ptCount val="191"/>
                <c:pt idx="0">
                  <c:v>-40</c:v>
                </c:pt>
                <c:pt idx="1">
                  <c:v>-39</c:v>
                </c:pt>
                <c:pt idx="2">
                  <c:v>-38</c:v>
                </c:pt>
                <c:pt idx="3">
                  <c:v>-37</c:v>
                </c:pt>
                <c:pt idx="4">
                  <c:v>-36</c:v>
                </c:pt>
                <c:pt idx="5">
                  <c:v>-35</c:v>
                </c:pt>
                <c:pt idx="6">
                  <c:v>-34</c:v>
                </c:pt>
                <c:pt idx="7">
                  <c:v>-33</c:v>
                </c:pt>
                <c:pt idx="8">
                  <c:v>-32</c:v>
                </c:pt>
                <c:pt idx="9">
                  <c:v>-31</c:v>
                </c:pt>
                <c:pt idx="10">
                  <c:v>-30</c:v>
                </c:pt>
                <c:pt idx="11">
                  <c:v>-29</c:v>
                </c:pt>
                <c:pt idx="12">
                  <c:v>-28</c:v>
                </c:pt>
                <c:pt idx="13">
                  <c:v>-27</c:v>
                </c:pt>
                <c:pt idx="14">
                  <c:v>-26</c:v>
                </c:pt>
                <c:pt idx="15">
                  <c:v>-25</c:v>
                </c:pt>
                <c:pt idx="16">
                  <c:v>-24</c:v>
                </c:pt>
                <c:pt idx="17">
                  <c:v>-23</c:v>
                </c:pt>
                <c:pt idx="18">
                  <c:v>-22</c:v>
                </c:pt>
                <c:pt idx="19">
                  <c:v>-21</c:v>
                </c:pt>
                <c:pt idx="20">
                  <c:v>-20</c:v>
                </c:pt>
                <c:pt idx="21">
                  <c:v>-19</c:v>
                </c:pt>
                <c:pt idx="22">
                  <c:v>-18</c:v>
                </c:pt>
                <c:pt idx="23">
                  <c:v>-17</c:v>
                </c:pt>
                <c:pt idx="24">
                  <c:v>-16</c:v>
                </c:pt>
                <c:pt idx="25">
                  <c:v>-15</c:v>
                </c:pt>
                <c:pt idx="26">
                  <c:v>-14</c:v>
                </c:pt>
                <c:pt idx="27">
                  <c:v>-13</c:v>
                </c:pt>
                <c:pt idx="28">
                  <c:v>-12</c:v>
                </c:pt>
                <c:pt idx="29">
                  <c:v>-11</c:v>
                </c:pt>
                <c:pt idx="30">
                  <c:v>-10</c:v>
                </c:pt>
                <c:pt idx="31">
                  <c:v>-9</c:v>
                </c:pt>
                <c:pt idx="32">
                  <c:v>-8</c:v>
                </c:pt>
                <c:pt idx="33">
                  <c:v>-7</c:v>
                </c:pt>
                <c:pt idx="34">
                  <c:v>-6</c:v>
                </c:pt>
                <c:pt idx="35">
                  <c:v>-5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-1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61</c:v>
                </c:pt>
                <c:pt idx="102">
                  <c:v>62</c:v>
                </c:pt>
                <c:pt idx="103">
                  <c:v>63</c:v>
                </c:pt>
                <c:pt idx="104">
                  <c:v>64</c:v>
                </c:pt>
                <c:pt idx="105">
                  <c:v>65</c:v>
                </c:pt>
                <c:pt idx="106">
                  <c:v>66</c:v>
                </c:pt>
                <c:pt idx="107">
                  <c:v>67</c:v>
                </c:pt>
                <c:pt idx="108">
                  <c:v>68</c:v>
                </c:pt>
                <c:pt idx="109">
                  <c:v>69</c:v>
                </c:pt>
                <c:pt idx="110">
                  <c:v>70</c:v>
                </c:pt>
                <c:pt idx="111">
                  <c:v>71</c:v>
                </c:pt>
                <c:pt idx="112">
                  <c:v>72</c:v>
                </c:pt>
                <c:pt idx="113">
                  <c:v>73</c:v>
                </c:pt>
                <c:pt idx="114">
                  <c:v>74</c:v>
                </c:pt>
                <c:pt idx="115">
                  <c:v>75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80</c:v>
                </c:pt>
                <c:pt idx="121">
                  <c:v>81</c:v>
                </c:pt>
                <c:pt idx="122">
                  <c:v>82</c:v>
                </c:pt>
                <c:pt idx="123">
                  <c:v>83</c:v>
                </c:pt>
                <c:pt idx="124">
                  <c:v>84</c:v>
                </c:pt>
                <c:pt idx="125">
                  <c:v>85</c:v>
                </c:pt>
                <c:pt idx="126">
                  <c:v>86</c:v>
                </c:pt>
                <c:pt idx="127">
                  <c:v>87</c:v>
                </c:pt>
                <c:pt idx="128">
                  <c:v>88</c:v>
                </c:pt>
                <c:pt idx="129">
                  <c:v>89</c:v>
                </c:pt>
                <c:pt idx="130">
                  <c:v>90</c:v>
                </c:pt>
                <c:pt idx="131">
                  <c:v>91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96</c:v>
                </c:pt>
                <c:pt idx="137">
                  <c:v>97</c:v>
                </c:pt>
                <c:pt idx="138">
                  <c:v>98</c:v>
                </c:pt>
                <c:pt idx="139">
                  <c:v>99</c:v>
                </c:pt>
                <c:pt idx="140">
                  <c:v>100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105</c:v>
                </c:pt>
                <c:pt idx="146">
                  <c:v>106</c:v>
                </c:pt>
                <c:pt idx="147">
                  <c:v>107</c:v>
                </c:pt>
                <c:pt idx="148">
                  <c:v>108</c:v>
                </c:pt>
                <c:pt idx="149">
                  <c:v>109</c:v>
                </c:pt>
                <c:pt idx="150">
                  <c:v>110</c:v>
                </c:pt>
                <c:pt idx="151">
                  <c:v>111</c:v>
                </c:pt>
                <c:pt idx="152">
                  <c:v>112</c:v>
                </c:pt>
                <c:pt idx="153">
                  <c:v>113</c:v>
                </c:pt>
                <c:pt idx="154">
                  <c:v>114</c:v>
                </c:pt>
                <c:pt idx="155">
                  <c:v>115</c:v>
                </c:pt>
                <c:pt idx="156">
                  <c:v>116</c:v>
                </c:pt>
                <c:pt idx="157">
                  <c:v>117</c:v>
                </c:pt>
                <c:pt idx="158">
                  <c:v>118</c:v>
                </c:pt>
                <c:pt idx="159">
                  <c:v>119</c:v>
                </c:pt>
                <c:pt idx="160">
                  <c:v>120</c:v>
                </c:pt>
                <c:pt idx="161">
                  <c:v>121</c:v>
                </c:pt>
                <c:pt idx="162">
                  <c:v>122</c:v>
                </c:pt>
                <c:pt idx="163">
                  <c:v>123</c:v>
                </c:pt>
                <c:pt idx="164">
                  <c:v>124</c:v>
                </c:pt>
                <c:pt idx="165">
                  <c:v>125</c:v>
                </c:pt>
                <c:pt idx="166">
                  <c:v>126</c:v>
                </c:pt>
                <c:pt idx="167">
                  <c:v>127</c:v>
                </c:pt>
                <c:pt idx="168">
                  <c:v>128</c:v>
                </c:pt>
                <c:pt idx="169">
                  <c:v>129</c:v>
                </c:pt>
                <c:pt idx="170">
                  <c:v>130</c:v>
                </c:pt>
                <c:pt idx="171">
                  <c:v>131</c:v>
                </c:pt>
                <c:pt idx="172">
                  <c:v>132</c:v>
                </c:pt>
                <c:pt idx="173">
                  <c:v>133</c:v>
                </c:pt>
                <c:pt idx="174">
                  <c:v>134</c:v>
                </c:pt>
                <c:pt idx="175">
                  <c:v>135</c:v>
                </c:pt>
                <c:pt idx="176">
                  <c:v>136</c:v>
                </c:pt>
                <c:pt idx="177">
                  <c:v>137</c:v>
                </c:pt>
                <c:pt idx="178">
                  <c:v>138</c:v>
                </c:pt>
                <c:pt idx="179">
                  <c:v>139</c:v>
                </c:pt>
                <c:pt idx="180">
                  <c:v>140</c:v>
                </c:pt>
                <c:pt idx="181">
                  <c:v>141</c:v>
                </c:pt>
                <c:pt idx="182">
                  <c:v>142</c:v>
                </c:pt>
                <c:pt idx="183">
                  <c:v>143</c:v>
                </c:pt>
                <c:pt idx="184">
                  <c:v>144</c:v>
                </c:pt>
                <c:pt idx="185">
                  <c:v>145</c:v>
                </c:pt>
                <c:pt idx="186">
                  <c:v>146</c:v>
                </c:pt>
                <c:pt idx="187">
                  <c:v>147</c:v>
                </c:pt>
                <c:pt idx="188">
                  <c:v>148</c:v>
                </c:pt>
                <c:pt idx="189">
                  <c:v>149</c:v>
                </c:pt>
                <c:pt idx="190">
                  <c:v>150</c:v>
                </c:pt>
              </c:numCache>
            </c:numRef>
          </c:cat>
          <c:val>
            <c:numRef>
              <c:f>'ADC Pull-up'!$E$8:$E$198</c:f>
              <c:numCache>
                <c:formatCode>0</c:formatCode>
                <c:ptCount val="191"/>
                <c:pt idx="0">
                  <c:v>1014</c:v>
                </c:pt>
                <c:pt idx="1">
                  <c:v>1013</c:v>
                </c:pt>
                <c:pt idx="2">
                  <c:v>1013</c:v>
                </c:pt>
                <c:pt idx="3">
                  <c:v>1012</c:v>
                </c:pt>
                <c:pt idx="4">
                  <c:v>1011</c:v>
                </c:pt>
                <c:pt idx="5">
                  <c:v>1010</c:v>
                </c:pt>
                <c:pt idx="6">
                  <c:v>1010</c:v>
                </c:pt>
                <c:pt idx="7">
                  <c:v>1009</c:v>
                </c:pt>
                <c:pt idx="8">
                  <c:v>1008</c:v>
                </c:pt>
                <c:pt idx="9">
                  <c:v>1007</c:v>
                </c:pt>
                <c:pt idx="10">
                  <c:v>1006</c:v>
                </c:pt>
                <c:pt idx="11">
                  <c:v>1005</c:v>
                </c:pt>
                <c:pt idx="12">
                  <c:v>1004</c:v>
                </c:pt>
                <c:pt idx="13">
                  <c:v>1003</c:v>
                </c:pt>
                <c:pt idx="14">
                  <c:v>1001</c:v>
                </c:pt>
                <c:pt idx="15">
                  <c:v>1000</c:v>
                </c:pt>
                <c:pt idx="16">
                  <c:v>999</c:v>
                </c:pt>
                <c:pt idx="17">
                  <c:v>997</c:v>
                </c:pt>
                <c:pt idx="18">
                  <c:v>996</c:v>
                </c:pt>
                <c:pt idx="19">
                  <c:v>994</c:v>
                </c:pt>
                <c:pt idx="20">
                  <c:v>993</c:v>
                </c:pt>
                <c:pt idx="21">
                  <c:v>991</c:v>
                </c:pt>
                <c:pt idx="22">
                  <c:v>989</c:v>
                </c:pt>
                <c:pt idx="23">
                  <c:v>987</c:v>
                </c:pt>
                <c:pt idx="24">
                  <c:v>985</c:v>
                </c:pt>
                <c:pt idx="25">
                  <c:v>983</c:v>
                </c:pt>
                <c:pt idx="26">
                  <c:v>981</c:v>
                </c:pt>
                <c:pt idx="27">
                  <c:v>978</c:v>
                </c:pt>
                <c:pt idx="28">
                  <c:v>976</c:v>
                </c:pt>
                <c:pt idx="29">
                  <c:v>973</c:v>
                </c:pt>
                <c:pt idx="30">
                  <c:v>971</c:v>
                </c:pt>
                <c:pt idx="31">
                  <c:v>968</c:v>
                </c:pt>
                <c:pt idx="32">
                  <c:v>965</c:v>
                </c:pt>
                <c:pt idx="33">
                  <c:v>962</c:v>
                </c:pt>
                <c:pt idx="34">
                  <c:v>959</c:v>
                </c:pt>
                <c:pt idx="35">
                  <c:v>956</c:v>
                </c:pt>
                <c:pt idx="36">
                  <c:v>952</c:v>
                </c:pt>
                <c:pt idx="37">
                  <c:v>949</c:v>
                </c:pt>
                <c:pt idx="38">
                  <c:v>945</c:v>
                </c:pt>
                <c:pt idx="39">
                  <c:v>941</c:v>
                </c:pt>
                <c:pt idx="40">
                  <c:v>937</c:v>
                </c:pt>
                <c:pt idx="41">
                  <c:v>933</c:v>
                </c:pt>
                <c:pt idx="42">
                  <c:v>928</c:v>
                </c:pt>
                <c:pt idx="43">
                  <c:v>924</c:v>
                </c:pt>
                <c:pt idx="44">
                  <c:v>919</c:v>
                </c:pt>
                <c:pt idx="45">
                  <c:v>914</c:v>
                </c:pt>
                <c:pt idx="46">
                  <c:v>909</c:v>
                </c:pt>
                <c:pt idx="47">
                  <c:v>904</c:v>
                </c:pt>
                <c:pt idx="48">
                  <c:v>899</c:v>
                </c:pt>
                <c:pt idx="49">
                  <c:v>893</c:v>
                </c:pt>
                <c:pt idx="50">
                  <c:v>888</c:v>
                </c:pt>
                <c:pt idx="51">
                  <c:v>882</c:v>
                </c:pt>
                <c:pt idx="52">
                  <c:v>876</c:v>
                </c:pt>
                <c:pt idx="53">
                  <c:v>870</c:v>
                </c:pt>
                <c:pt idx="54">
                  <c:v>864</c:v>
                </c:pt>
                <c:pt idx="55">
                  <c:v>857</c:v>
                </c:pt>
                <c:pt idx="56">
                  <c:v>851</c:v>
                </c:pt>
                <c:pt idx="57">
                  <c:v>844</c:v>
                </c:pt>
                <c:pt idx="58">
                  <c:v>837</c:v>
                </c:pt>
                <c:pt idx="59">
                  <c:v>831</c:v>
                </c:pt>
                <c:pt idx="60">
                  <c:v>824</c:v>
                </c:pt>
                <c:pt idx="61">
                  <c:v>816</c:v>
                </c:pt>
                <c:pt idx="62">
                  <c:v>809</c:v>
                </c:pt>
                <c:pt idx="63">
                  <c:v>802</c:v>
                </c:pt>
                <c:pt idx="64">
                  <c:v>794</c:v>
                </c:pt>
                <c:pt idx="65">
                  <c:v>787</c:v>
                </c:pt>
                <c:pt idx="66">
                  <c:v>779</c:v>
                </c:pt>
                <c:pt idx="67">
                  <c:v>771</c:v>
                </c:pt>
                <c:pt idx="68">
                  <c:v>762</c:v>
                </c:pt>
                <c:pt idx="69">
                  <c:v>754</c:v>
                </c:pt>
                <c:pt idx="70">
                  <c:v>745</c:v>
                </c:pt>
                <c:pt idx="71">
                  <c:v>737</c:v>
                </c:pt>
                <c:pt idx="72">
                  <c:v>728</c:v>
                </c:pt>
                <c:pt idx="73">
                  <c:v>719</c:v>
                </c:pt>
                <c:pt idx="74">
                  <c:v>710</c:v>
                </c:pt>
                <c:pt idx="75">
                  <c:v>701</c:v>
                </c:pt>
                <c:pt idx="76">
                  <c:v>692</c:v>
                </c:pt>
                <c:pt idx="77">
                  <c:v>682</c:v>
                </c:pt>
                <c:pt idx="78">
                  <c:v>673</c:v>
                </c:pt>
                <c:pt idx="79">
                  <c:v>664</c:v>
                </c:pt>
                <c:pt idx="80">
                  <c:v>654</c:v>
                </c:pt>
                <c:pt idx="81">
                  <c:v>644</c:v>
                </c:pt>
                <c:pt idx="82">
                  <c:v>635</c:v>
                </c:pt>
                <c:pt idx="83">
                  <c:v>625</c:v>
                </c:pt>
                <c:pt idx="84">
                  <c:v>616</c:v>
                </c:pt>
                <c:pt idx="85">
                  <c:v>606</c:v>
                </c:pt>
                <c:pt idx="86">
                  <c:v>596</c:v>
                </c:pt>
                <c:pt idx="87">
                  <c:v>586</c:v>
                </c:pt>
                <c:pt idx="88">
                  <c:v>577</c:v>
                </c:pt>
                <c:pt idx="89">
                  <c:v>567</c:v>
                </c:pt>
                <c:pt idx="90">
                  <c:v>557</c:v>
                </c:pt>
                <c:pt idx="91">
                  <c:v>547</c:v>
                </c:pt>
                <c:pt idx="92">
                  <c:v>538</c:v>
                </c:pt>
                <c:pt idx="93">
                  <c:v>528</c:v>
                </c:pt>
                <c:pt idx="94">
                  <c:v>519</c:v>
                </c:pt>
                <c:pt idx="95">
                  <c:v>509</c:v>
                </c:pt>
                <c:pt idx="96">
                  <c:v>499</c:v>
                </c:pt>
                <c:pt idx="97">
                  <c:v>490</c:v>
                </c:pt>
                <c:pt idx="98">
                  <c:v>481</c:v>
                </c:pt>
                <c:pt idx="99">
                  <c:v>471</c:v>
                </c:pt>
                <c:pt idx="100">
                  <c:v>462</c:v>
                </c:pt>
                <c:pt idx="101">
                  <c:v>453</c:v>
                </c:pt>
                <c:pt idx="102">
                  <c:v>444</c:v>
                </c:pt>
                <c:pt idx="103">
                  <c:v>435</c:v>
                </c:pt>
                <c:pt idx="104">
                  <c:v>426</c:v>
                </c:pt>
                <c:pt idx="105">
                  <c:v>417</c:v>
                </c:pt>
                <c:pt idx="106">
                  <c:v>408</c:v>
                </c:pt>
                <c:pt idx="107">
                  <c:v>400</c:v>
                </c:pt>
                <c:pt idx="108">
                  <c:v>391</c:v>
                </c:pt>
                <c:pt idx="109">
                  <c:v>383</c:v>
                </c:pt>
                <c:pt idx="110">
                  <c:v>375</c:v>
                </c:pt>
                <c:pt idx="111">
                  <c:v>367</c:v>
                </c:pt>
                <c:pt idx="112">
                  <c:v>359</c:v>
                </c:pt>
                <c:pt idx="113">
                  <c:v>351</c:v>
                </c:pt>
                <c:pt idx="114">
                  <c:v>343</c:v>
                </c:pt>
                <c:pt idx="115">
                  <c:v>335</c:v>
                </c:pt>
                <c:pt idx="116">
                  <c:v>328</c:v>
                </c:pt>
                <c:pt idx="117">
                  <c:v>320</c:v>
                </c:pt>
                <c:pt idx="118">
                  <c:v>313</c:v>
                </c:pt>
                <c:pt idx="119">
                  <c:v>306</c:v>
                </c:pt>
                <c:pt idx="120">
                  <c:v>299</c:v>
                </c:pt>
                <c:pt idx="121">
                  <c:v>292</c:v>
                </c:pt>
                <c:pt idx="122">
                  <c:v>285</c:v>
                </c:pt>
                <c:pt idx="123">
                  <c:v>279</c:v>
                </c:pt>
                <c:pt idx="124">
                  <c:v>272</c:v>
                </c:pt>
                <c:pt idx="125">
                  <c:v>266</c:v>
                </c:pt>
                <c:pt idx="126">
                  <c:v>260</c:v>
                </c:pt>
                <c:pt idx="127">
                  <c:v>254</c:v>
                </c:pt>
                <c:pt idx="128">
                  <c:v>248</c:v>
                </c:pt>
                <c:pt idx="129">
                  <c:v>242</c:v>
                </c:pt>
                <c:pt idx="130">
                  <c:v>236</c:v>
                </c:pt>
                <c:pt idx="131">
                  <c:v>230</c:v>
                </c:pt>
                <c:pt idx="132">
                  <c:v>225</c:v>
                </c:pt>
                <c:pt idx="133">
                  <c:v>220</c:v>
                </c:pt>
                <c:pt idx="134">
                  <c:v>214</c:v>
                </c:pt>
                <c:pt idx="135">
                  <c:v>209</c:v>
                </c:pt>
                <c:pt idx="136">
                  <c:v>204</c:v>
                </c:pt>
                <c:pt idx="137">
                  <c:v>199</c:v>
                </c:pt>
                <c:pt idx="138">
                  <c:v>194</c:v>
                </c:pt>
                <c:pt idx="139">
                  <c:v>190</c:v>
                </c:pt>
                <c:pt idx="140">
                  <c:v>185</c:v>
                </c:pt>
                <c:pt idx="141">
                  <c:v>181</c:v>
                </c:pt>
                <c:pt idx="142">
                  <c:v>176</c:v>
                </c:pt>
                <c:pt idx="143">
                  <c:v>172</c:v>
                </c:pt>
                <c:pt idx="144">
                  <c:v>168</c:v>
                </c:pt>
                <c:pt idx="145">
                  <c:v>164</c:v>
                </c:pt>
                <c:pt idx="146">
                  <c:v>160</c:v>
                </c:pt>
                <c:pt idx="147">
                  <c:v>156</c:v>
                </c:pt>
                <c:pt idx="148">
                  <c:v>152</c:v>
                </c:pt>
                <c:pt idx="149">
                  <c:v>149</c:v>
                </c:pt>
                <c:pt idx="150">
                  <c:v>145</c:v>
                </c:pt>
                <c:pt idx="151">
                  <c:v>142</c:v>
                </c:pt>
                <c:pt idx="152">
                  <c:v>138</c:v>
                </c:pt>
                <c:pt idx="153">
                  <c:v>135</c:v>
                </c:pt>
                <c:pt idx="154">
                  <c:v>132</c:v>
                </c:pt>
                <c:pt idx="155">
                  <c:v>128</c:v>
                </c:pt>
                <c:pt idx="156">
                  <c:v>125</c:v>
                </c:pt>
                <c:pt idx="157">
                  <c:v>122</c:v>
                </c:pt>
                <c:pt idx="158">
                  <c:v>119</c:v>
                </c:pt>
                <c:pt idx="159">
                  <c:v>117</c:v>
                </c:pt>
                <c:pt idx="160">
                  <c:v>114</c:v>
                </c:pt>
                <c:pt idx="161">
                  <c:v>111</c:v>
                </c:pt>
                <c:pt idx="162">
                  <c:v>108</c:v>
                </c:pt>
                <c:pt idx="163">
                  <c:v>106</c:v>
                </c:pt>
                <c:pt idx="164">
                  <c:v>103</c:v>
                </c:pt>
                <c:pt idx="165">
                  <c:v>101</c:v>
                </c:pt>
                <c:pt idx="166">
                  <c:v>98</c:v>
                </c:pt>
                <c:pt idx="167">
                  <c:v>96</c:v>
                </c:pt>
                <c:pt idx="168">
                  <c:v>94</c:v>
                </c:pt>
                <c:pt idx="169">
                  <c:v>92</c:v>
                </c:pt>
                <c:pt idx="170">
                  <c:v>90</c:v>
                </c:pt>
                <c:pt idx="171">
                  <c:v>87</c:v>
                </c:pt>
                <c:pt idx="172">
                  <c:v>85</c:v>
                </c:pt>
                <c:pt idx="173">
                  <c:v>83</c:v>
                </c:pt>
                <c:pt idx="174">
                  <c:v>81</c:v>
                </c:pt>
                <c:pt idx="175">
                  <c:v>80</c:v>
                </c:pt>
                <c:pt idx="176">
                  <c:v>78</c:v>
                </c:pt>
                <c:pt idx="177">
                  <c:v>76</c:v>
                </c:pt>
                <c:pt idx="178">
                  <c:v>74</c:v>
                </c:pt>
                <c:pt idx="179">
                  <c:v>72</c:v>
                </c:pt>
                <c:pt idx="180">
                  <c:v>71</c:v>
                </c:pt>
                <c:pt idx="181">
                  <c:v>69</c:v>
                </c:pt>
                <c:pt idx="182">
                  <c:v>68</c:v>
                </c:pt>
                <c:pt idx="183">
                  <c:v>66</c:v>
                </c:pt>
                <c:pt idx="184">
                  <c:v>65</c:v>
                </c:pt>
                <c:pt idx="185">
                  <c:v>63</c:v>
                </c:pt>
                <c:pt idx="186">
                  <c:v>62</c:v>
                </c:pt>
                <c:pt idx="187">
                  <c:v>60</c:v>
                </c:pt>
                <c:pt idx="188">
                  <c:v>59</c:v>
                </c:pt>
                <c:pt idx="189">
                  <c:v>58</c:v>
                </c:pt>
                <c:pt idx="190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40-4630-9BDD-B1C771137FB6}"/>
            </c:ext>
          </c:extLst>
        </c:ser>
        <c:ser>
          <c:idx val="1"/>
          <c:order val="1"/>
          <c:tx>
            <c:v>Pull-down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'ADC Pull-down'!$A$8:$A$198</c:f>
              <c:numCache>
                <c:formatCode>General</c:formatCode>
                <c:ptCount val="191"/>
                <c:pt idx="0">
                  <c:v>-40</c:v>
                </c:pt>
                <c:pt idx="1">
                  <c:v>-39</c:v>
                </c:pt>
                <c:pt idx="2">
                  <c:v>-38</c:v>
                </c:pt>
                <c:pt idx="3">
                  <c:v>-37</c:v>
                </c:pt>
                <c:pt idx="4">
                  <c:v>-36</c:v>
                </c:pt>
                <c:pt idx="5">
                  <c:v>-35</c:v>
                </c:pt>
                <c:pt idx="6">
                  <c:v>-34</c:v>
                </c:pt>
                <c:pt idx="7">
                  <c:v>-33</c:v>
                </c:pt>
                <c:pt idx="8">
                  <c:v>-32</c:v>
                </c:pt>
                <c:pt idx="9">
                  <c:v>-31</c:v>
                </c:pt>
                <c:pt idx="10">
                  <c:v>-30</c:v>
                </c:pt>
                <c:pt idx="11">
                  <c:v>-29</c:v>
                </c:pt>
                <c:pt idx="12">
                  <c:v>-28</c:v>
                </c:pt>
                <c:pt idx="13">
                  <c:v>-27</c:v>
                </c:pt>
                <c:pt idx="14">
                  <c:v>-26</c:v>
                </c:pt>
                <c:pt idx="15">
                  <c:v>-25</c:v>
                </c:pt>
                <c:pt idx="16">
                  <c:v>-24</c:v>
                </c:pt>
                <c:pt idx="17">
                  <c:v>-23</c:v>
                </c:pt>
                <c:pt idx="18">
                  <c:v>-22</c:v>
                </c:pt>
                <c:pt idx="19">
                  <c:v>-21</c:v>
                </c:pt>
                <c:pt idx="20">
                  <c:v>-20</c:v>
                </c:pt>
                <c:pt idx="21">
                  <c:v>-19</c:v>
                </c:pt>
                <c:pt idx="22">
                  <c:v>-18</c:v>
                </c:pt>
                <c:pt idx="23">
                  <c:v>-17</c:v>
                </c:pt>
                <c:pt idx="24">
                  <c:v>-16</c:v>
                </c:pt>
                <c:pt idx="25">
                  <c:v>-15</c:v>
                </c:pt>
                <c:pt idx="26">
                  <c:v>-14</c:v>
                </c:pt>
                <c:pt idx="27">
                  <c:v>-13</c:v>
                </c:pt>
                <c:pt idx="28">
                  <c:v>-12</c:v>
                </c:pt>
                <c:pt idx="29">
                  <c:v>-11</c:v>
                </c:pt>
                <c:pt idx="30">
                  <c:v>-10</c:v>
                </c:pt>
                <c:pt idx="31">
                  <c:v>-9</c:v>
                </c:pt>
                <c:pt idx="32">
                  <c:v>-8</c:v>
                </c:pt>
                <c:pt idx="33">
                  <c:v>-7</c:v>
                </c:pt>
                <c:pt idx="34">
                  <c:v>-6</c:v>
                </c:pt>
                <c:pt idx="35">
                  <c:v>-5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-1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41</c:v>
                </c:pt>
                <c:pt idx="82">
                  <c:v>42</c:v>
                </c:pt>
                <c:pt idx="83">
                  <c:v>43</c:v>
                </c:pt>
                <c:pt idx="84">
                  <c:v>44</c:v>
                </c:pt>
                <c:pt idx="85">
                  <c:v>45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50</c:v>
                </c:pt>
                <c:pt idx="91">
                  <c:v>51</c:v>
                </c:pt>
                <c:pt idx="92">
                  <c:v>52</c:v>
                </c:pt>
                <c:pt idx="93">
                  <c:v>53</c:v>
                </c:pt>
                <c:pt idx="94">
                  <c:v>54</c:v>
                </c:pt>
                <c:pt idx="95">
                  <c:v>55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61</c:v>
                </c:pt>
                <c:pt idx="102">
                  <c:v>62</c:v>
                </c:pt>
                <c:pt idx="103">
                  <c:v>63</c:v>
                </c:pt>
                <c:pt idx="104">
                  <c:v>64</c:v>
                </c:pt>
                <c:pt idx="105">
                  <c:v>65</c:v>
                </c:pt>
                <c:pt idx="106">
                  <c:v>66</c:v>
                </c:pt>
                <c:pt idx="107">
                  <c:v>67</c:v>
                </c:pt>
                <c:pt idx="108">
                  <c:v>68</c:v>
                </c:pt>
                <c:pt idx="109">
                  <c:v>69</c:v>
                </c:pt>
                <c:pt idx="110">
                  <c:v>70</c:v>
                </c:pt>
                <c:pt idx="111">
                  <c:v>71</c:v>
                </c:pt>
                <c:pt idx="112">
                  <c:v>72</c:v>
                </c:pt>
                <c:pt idx="113">
                  <c:v>73</c:v>
                </c:pt>
                <c:pt idx="114">
                  <c:v>74</c:v>
                </c:pt>
                <c:pt idx="115">
                  <c:v>75</c:v>
                </c:pt>
                <c:pt idx="116">
                  <c:v>76</c:v>
                </c:pt>
                <c:pt idx="117">
                  <c:v>77</c:v>
                </c:pt>
                <c:pt idx="118">
                  <c:v>78</c:v>
                </c:pt>
                <c:pt idx="119">
                  <c:v>79</c:v>
                </c:pt>
                <c:pt idx="120">
                  <c:v>80</c:v>
                </c:pt>
                <c:pt idx="121">
                  <c:v>81</c:v>
                </c:pt>
                <c:pt idx="122">
                  <c:v>82</c:v>
                </c:pt>
                <c:pt idx="123">
                  <c:v>83</c:v>
                </c:pt>
                <c:pt idx="124">
                  <c:v>84</c:v>
                </c:pt>
                <c:pt idx="125">
                  <c:v>85</c:v>
                </c:pt>
                <c:pt idx="126">
                  <c:v>86</c:v>
                </c:pt>
                <c:pt idx="127">
                  <c:v>87</c:v>
                </c:pt>
                <c:pt idx="128">
                  <c:v>88</c:v>
                </c:pt>
                <c:pt idx="129">
                  <c:v>89</c:v>
                </c:pt>
                <c:pt idx="130">
                  <c:v>90</c:v>
                </c:pt>
                <c:pt idx="131">
                  <c:v>91</c:v>
                </c:pt>
                <c:pt idx="132">
                  <c:v>92</c:v>
                </c:pt>
                <c:pt idx="133">
                  <c:v>93</c:v>
                </c:pt>
                <c:pt idx="134">
                  <c:v>94</c:v>
                </c:pt>
                <c:pt idx="135">
                  <c:v>95</c:v>
                </c:pt>
                <c:pt idx="136">
                  <c:v>96</c:v>
                </c:pt>
                <c:pt idx="137">
                  <c:v>97</c:v>
                </c:pt>
                <c:pt idx="138">
                  <c:v>98</c:v>
                </c:pt>
                <c:pt idx="139">
                  <c:v>99</c:v>
                </c:pt>
                <c:pt idx="140">
                  <c:v>100</c:v>
                </c:pt>
                <c:pt idx="141">
                  <c:v>101</c:v>
                </c:pt>
                <c:pt idx="142">
                  <c:v>102</c:v>
                </c:pt>
                <c:pt idx="143">
                  <c:v>103</c:v>
                </c:pt>
                <c:pt idx="144">
                  <c:v>104</c:v>
                </c:pt>
                <c:pt idx="145">
                  <c:v>105</c:v>
                </c:pt>
                <c:pt idx="146">
                  <c:v>106</c:v>
                </c:pt>
                <c:pt idx="147">
                  <c:v>107</c:v>
                </c:pt>
                <c:pt idx="148">
                  <c:v>108</c:v>
                </c:pt>
                <c:pt idx="149">
                  <c:v>109</c:v>
                </c:pt>
                <c:pt idx="150">
                  <c:v>110</c:v>
                </c:pt>
                <c:pt idx="151">
                  <c:v>111</c:v>
                </c:pt>
                <c:pt idx="152">
                  <c:v>112</c:v>
                </c:pt>
                <c:pt idx="153">
                  <c:v>113</c:v>
                </c:pt>
                <c:pt idx="154">
                  <c:v>114</c:v>
                </c:pt>
                <c:pt idx="155">
                  <c:v>115</c:v>
                </c:pt>
                <c:pt idx="156">
                  <c:v>116</c:v>
                </c:pt>
                <c:pt idx="157">
                  <c:v>117</c:v>
                </c:pt>
                <c:pt idx="158">
                  <c:v>118</c:v>
                </c:pt>
                <c:pt idx="159">
                  <c:v>119</c:v>
                </c:pt>
                <c:pt idx="160">
                  <c:v>120</c:v>
                </c:pt>
                <c:pt idx="161">
                  <c:v>121</c:v>
                </c:pt>
                <c:pt idx="162">
                  <c:v>122</c:v>
                </c:pt>
                <c:pt idx="163">
                  <c:v>123</c:v>
                </c:pt>
                <c:pt idx="164">
                  <c:v>124</c:v>
                </c:pt>
                <c:pt idx="165">
                  <c:v>125</c:v>
                </c:pt>
                <c:pt idx="166">
                  <c:v>126</c:v>
                </c:pt>
                <c:pt idx="167">
                  <c:v>127</c:v>
                </c:pt>
                <c:pt idx="168">
                  <c:v>128</c:v>
                </c:pt>
                <c:pt idx="169">
                  <c:v>129</c:v>
                </c:pt>
                <c:pt idx="170">
                  <c:v>130</c:v>
                </c:pt>
                <c:pt idx="171">
                  <c:v>131</c:v>
                </c:pt>
                <c:pt idx="172">
                  <c:v>132</c:v>
                </c:pt>
                <c:pt idx="173">
                  <c:v>133</c:v>
                </c:pt>
                <c:pt idx="174">
                  <c:v>134</c:v>
                </c:pt>
                <c:pt idx="175">
                  <c:v>135</c:v>
                </c:pt>
                <c:pt idx="176">
                  <c:v>136</c:v>
                </c:pt>
                <c:pt idx="177">
                  <c:v>137</c:v>
                </c:pt>
                <c:pt idx="178">
                  <c:v>138</c:v>
                </c:pt>
                <c:pt idx="179">
                  <c:v>139</c:v>
                </c:pt>
                <c:pt idx="180">
                  <c:v>140</c:v>
                </c:pt>
                <c:pt idx="181">
                  <c:v>141</c:v>
                </c:pt>
                <c:pt idx="182">
                  <c:v>142</c:v>
                </c:pt>
                <c:pt idx="183">
                  <c:v>143</c:v>
                </c:pt>
                <c:pt idx="184">
                  <c:v>144</c:v>
                </c:pt>
                <c:pt idx="185">
                  <c:v>145</c:v>
                </c:pt>
                <c:pt idx="186">
                  <c:v>146</c:v>
                </c:pt>
                <c:pt idx="187">
                  <c:v>147</c:v>
                </c:pt>
                <c:pt idx="188">
                  <c:v>148</c:v>
                </c:pt>
                <c:pt idx="189">
                  <c:v>149</c:v>
                </c:pt>
                <c:pt idx="190">
                  <c:v>150</c:v>
                </c:pt>
              </c:numCache>
            </c:numRef>
          </c:cat>
          <c:val>
            <c:numRef>
              <c:f>'ADC Pull-down'!$E$8:$E$198</c:f>
              <c:numCache>
                <c:formatCode>0</c:formatCode>
                <c:ptCount val="19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26</c:v>
                </c:pt>
                <c:pt idx="18">
                  <c:v>27</c:v>
                </c:pt>
                <c:pt idx="19">
                  <c:v>29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45</c:v>
                </c:pt>
                <c:pt idx="28">
                  <c:v>47</c:v>
                </c:pt>
                <c:pt idx="29">
                  <c:v>50</c:v>
                </c:pt>
                <c:pt idx="30">
                  <c:v>52</c:v>
                </c:pt>
                <c:pt idx="31">
                  <c:v>55</c:v>
                </c:pt>
                <c:pt idx="32">
                  <c:v>58</c:v>
                </c:pt>
                <c:pt idx="33">
                  <c:v>61</c:v>
                </c:pt>
                <c:pt idx="34">
                  <c:v>64</c:v>
                </c:pt>
                <c:pt idx="35">
                  <c:v>67</c:v>
                </c:pt>
                <c:pt idx="36">
                  <c:v>71</c:v>
                </c:pt>
                <c:pt idx="37">
                  <c:v>74</c:v>
                </c:pt>
                <c:pt idx="38">
                  <c:v>78</c:v>
                </c:pt>
                <c:pt idx="39">
                  <c:v>82</c:v>
                </c:pt>
                <c:pt idx="40">
                  <c:v>86</c:v>
                </c:pt>
                <c:pt idx="41">
                  <c:v>90</c:v>
                </c:pt>
                <c:pt idx="42">
                  <c:v>95</c:v>
                </c:pt>
                <c:pt idx="43">
                  <c:v>99</c:v>
                </c:pt>
                <c:pt idx="44">
                  <c:v>104</c:v>
                </c:pt>
                <c:pt idx="45">
                  <c:v>109</c:v>
                </c:pt>
                <c:pt idx="46">
                  <c:v>114</c:v>
                </c:pt>
                <c:pt idx="47">
                  <c:v>119</c:v>
                </c:pt>
                <c:pt idx="48">
                  <c:v>124</c:v>
                </c:pt>
                <c:pt idx="49">
                  <c:v>130</c:v>
                </c:pt>
                <c:pt idx="50">
                  <c:v>135</c:v>
                </c:pt>
                <c:pt idx="51">
                  <c:v>141</c:v>
                </c:pt>
                <c:pt idx="52">
                  <c:v>147</c:v>
                </c:pt>
                <c:pt idx="53">
                  <c:v>153</c:v>
                </c:pt>
                <c:pt idx="54">
                  <c:v>159</c:v>
                </c:pt>
                <c:pt idx="55">
                  <c:v>166</c:v>
                </c:pt>
                <c:pt idx="56">
                  <c:v>172</c:v>
                </c:pt>
                <c:pt idx="57">
                  <c:v>179</c:v>
                </c:pt>
                <c:pt idx="58">
                  <c:v>186</c:v>
                </c:pt>
                <c:pt idx="59">
                  <c:v>192</c:v>
                </c:pt>
                <c:pt idx="60">
                  <c:v>199</c:v>
                </c:pt>
                <c:pt idx="61">
                  <c:v>207</c:v>
                </c:pt>
                <c:pt idx="62">
                  <c:v>214</c:v>
                </c:pt>
                <c:pt idx="63">
                  <c:v>221</c:v>
                </c:pt>
                <c:pt idx="64">
                  <c:v>229</c:v>
                </c:pt>
                <c:pt idx="65">
                  <c:v>236</c:v>
                </c:pt>
                <c:pt idx="66">
                  <c:v>244</c:v>
                </c:pt>
                <c:pt idx="67">
                  <c:v>252</c:v>
                </c:pt>
                <c:pt idx="68">
                  <c:v>261</c:v>
                </c:pt>
                <c:pt idx="69">
                  <c:v>269</c:v>
                </c:pt>
                <c:pt idx="70">
                  <c:v>278</c:v>
                </c:pt>
                <c:pt idx="71">
                  <c:v>286</c:v>
                </c:pt>
                <c:pt idx="72">
                  <c:v>295</c:v>
                </c:pt>
                <c:pt idx="73">
                  <c:v>304</c:v>
                </c:pt>
                <c:pt idx="74">
                  <c:v>313</c:v>
                </c:pt>
                <c:pt idx="75">
                  <c:v>322</c:v>
                </c:pt>
                <c:pt idx="76">
                  <c:v>331</c:v>
                </c:pt>
                <c:pt idx="77">
                  <c:v>341</c:v>
                </c:pt>
                <c:pt idx="78">
                  <c:v>350</c:v>
                </c:pt>
                <c:pt idx="79">
                  <c:v>359</c:v>
                </c:pt>
                <c:pt idx="80">
                  <c:v>369</c:v>
                </c:pt>
                <c:pt idx="81">
                  <c:v>379</c:v>
                </c:pt>
                <c:pt idx="82">
                  <c:v>388</c:v>
                </c:pt>
                <c:pt idx="83">
                  <c:v>398</c:v>
                </c:pt>
                <c:pt idx="84">
                  <c:v>407</c:v>
                </c:pt>
                <c:pt idx="85">
                  <c:v>417</c:v>
                </c:pt>
                <c:pt idx="86">
                  <c:v>427</c:v>
                </c:pt>
                <c:pt idx="87">
                  <c:v>437</c:v>
                </c:pt>
                <c:pt idx="88">
                  <c:v>446</c:v>
                </c:pt>
                <c:pt idx="89">
                  <c:v>456</c:v>
                </c:pt>
                <c:pt idx="90">
                  <c:v>466</c:v>
                </c:pt>
                <c:pt idx="91">
                  <c:v>476</c:v>
                </c:pt>
                <c:pt idx="92">
                  <c:v>485</c:v>
                </c:pt>
                <c:pt idx="93">
                  <c:v>495</c:v>
                </c:pt>
                <c:pt idx="94">
                  <c:v>504</c:v>
                </c:pt>
                <c:pt idx="95">
                  <c:v>514</c:v>
                </c:pt>
                <c:pt idx="96">
                  <c:v>524</c:v>
                </c:pt>
                <c:pt idx="97">
                  <c:v>533</c:v>
                </c:pt>
                <c:pt idx="98">
                  <c:v>542</c:v>
                </c:pt>
                <c:pt idx="99">
                  <c:v>552</c:v>
                </c:pt>
                <c:pt idx="100">
                  <c:v>561</c:v>
                </c:pt>
                <c:pt idx="101">
                  <c:v>570</c:v>
                </c:pt>
                <c:pt idx="102">
                  <c:v>579</c:v>
                </c:pt>
                <c:pt idx="103">
                  <c:v>588</c:v>
                </c:pt>
                <c:pt idx="104">
                  <c:v>597</c:v>
                </c:pt>
                <c:pt idx="105">
                  <c:v>606</c:v>
                </c:pt>
                <c:pt idx="106">
                  <c:v>615</c:v>
                </c:pt>
                <c:pt idx="107">
                  <c:v>623</c:v>
                </c:pt>
                <c:pt idx="108">
                  <c:v>632</c:v>
                </c:pt>
                <c:pt idx="109">
                  <c:v>640</c:v>
                </c:pt>
                <c:pt idx="110">
                  <c:v>648</c:v>
                </c:pt>
                <c:pt idx="111">
                  <c:v>656</c:v>
                </c:pt>
                <c:pt idx="112">
                  <c:v>664</c:v>
                </c:pt>
                <c:pt idx="113">
                  <c:v>672</c:v>
                </c:pt>
                <c:pt idx="114">
                  <c:v>680</c:v>
                </c:pt>
                <c:pt idx="115">
                  <c:v>688</c:v>
                </c:pt>
                <c:pt idx="116">
                  <c:v>695</c:v>
                </c:pt>
                <c:pt idx="117">
                  <c:v>703</c:v>
                </c:pt>
                <c:pt idx="118">
                  <c:v>710</c:v>
                </c:pt>
                <c:pt idx="119">
                  <c:v>717</c:v>
                </c:pt>
                <c:pt idx="120">
                  <c:v>724</c:v>
                </c:pt>
                <c:pt idx="121">
                  <c:v>731</c:v>
                </c:pt>
                <c:pt idx="122">
                  <c:v>738</c:v>
                </c:pt>
                <c:pt idx="123">
                  <c:v>744</c:v>
                </c:pt>
                <c:pt idx="124">
                  <c:v>751</c:v>
                </c:pt>
                <c:pt idx="125">
                  <c:v>757</c:v>
                </c:pt>
                <c:pt idx="126">
                  <c:v>763</c:v>
                </c:pt>
                <c:pt idx="127">
                  <c:v>769</c:v>
                </c:pt>
                <c:pt idx="128">
                  <c:v>775</c:v>
                </c:pt>
                <c:pt idx="129">
                  <c:v>781</c:v>
                </c:pt>
                <c:pt idx="130">
                  <c:v>787</c:v>
                </c:pt>
                <c:pt idx="131">
                  <c:v>793</c:v>
                </c:pt>
                <c:pt idx="132">
                  <c:v>798</c:v>
                </c:pt>
                <c:pt idx="133">
                  <c:v>803</c:v>
                </c:pt>
                <c:pt idx="134">
                  <c:v>809</c:v>
                </c:pt>
                <c:pt idx="135">
                  <c:v>814</c:v>
                </c:pt>
                <c:pt idx="136">
                  <c:v>819</c:v>
                </c:pt>
                <c:pt idx="137">
                  <c:v>824</c:v>
                </c:pt>
                <c:pt idx="138">
                  <c:v>829</c:v>
                </c:pt>
                <c:pt idx="139">
                  <c:v>833</c:v>
                </c:pt>
                <c:pt idx="140">
                  <c:v>838</c:v>
                </c:pt>
                <c:pt idx="141">
                  <c:v>842</c:v>
                </c:pt>
                <c:pt idx="142">
                  <c:v>847</c:v>
                </c:pt>
                <c:pt idx="143">
                  <c:v>851</c:v>
                </c:pt>
                <c:pt idx="144">
                  <c:v>855</c:v>
                </c:pt>
                <c:pt idx="145">
                  <c:v>859</c:v>
                </c:pt>
                <c:pt idx="146">
                  <c:v>863</c:v>
                </c:pt>
                <c:pt idx="147">
                  <c:v>867</c:v>
                </c:pt>
                <c:pt idx="148">
                  <c:v>871</c:v>
                </c:pt>
                <c:pt idx="149">
                  <c:v>874</c:v>
                </c:pt>
                <c:pt idx="150">
                  <c:v>878</c:v>
                </c:pt>
                <c:pt idx="151">
                  <c:v>881</c:v>
                </c:pt>
                <c:pt idx="152">
                  <c:v>885</c:v>
                </c:pt>
                <c:pt idx="153">
                  <c:v>888</c:v>
                </c:pt>
                <c:pt idx="154">
                  <c:v>891</c:v>
                </c:pt>
                <c:pt idx="155">
                  <c:v>895</c:v>
                </c:pt>
                <c:pt idx="156">
                  <c:v>898</c:v>
                </c:pt>
                <c:pt idx="157">
                  <c:v>901</c:v>
                </c:pt>
                <c:pt idx="158">
                  <c:v>904</c:v>
                </c:pt>
                <c:pt idx="159">
                  <c:v>906</c:v>
                </c:pt>
                <c:pt idx="160">
                  <c:v>909</c:v>
                </c:pt>
                <c:pt idx="161">
                  <c:v>912</c:v>
                </c:pt>
                <c:pt idx="162">
                  <c:v>915</c:v>
                </c:pt>
                <c:pt idx="163">
                  <c:v>917</c:v>
                </c:pt>
                <c:pt idx="164">
                  <c:v>920</c:v>
                </c:pt>
                <c:pt idx="165">
                  <c:v>922</c:v>
                </c:pt>
                <c:pt idx="166">
                  <c:v>925</c:v>
                </c:pt>
                <c:pt idx="167">
                  <c:v>927</c:v>
                </c:pt>
                <c:pt idx="168">
                  <c:v>929</c:v>
                </c:pt>
                <c:pt idx="169">
                  <c:v>931</c:v>
                </c:pt>
                <c:pt idx="170">
                  <c:v>933</c:v>
                </c:pt>
                <c:pt idx="171">
                  <c:v>936</c:v>
                </c:pt>
                <c:pt idx="172">
                  <c:v>938</c:v>
                </c:pt>
                <c:pt idx="173">
                  <c:v>940</c:v>
                </c:pt>
                <c:pt idx="174">
                  <c:v>942</c:v>
                </c:pt>
                <c:pt idx="175">
                  <c:v>943</c:v>
                </c:pt>
                <c:pt idx="176">
                  <c:v>945</c:v>
                </c:pt>
                <c:pt idx="177">
                  <c:v>947</c:v>
                </c:pt>
                <c:pt idx="178">
                  <c:v>949</c:v>
                </c:pt>
                <c:pt idx="179">
                  <c:v>951</c:v>
                </c:pt>
                <c:pt idx="180">
                  <c:v>952</c:v>
                </c:pt>
                <c:pt idx="181">
                  <c:v>954</c:v>
                </c:pt>
                <c:pt idx="182">
                  <c:v>955</c:v>
                </c:pt>
                <c:pt idx="183">
                  <c:v>957</c:v>
                </c:pt>
                <c:pt idx="184">
                  <c:v>958</c:v>
                </c:pt>
                <c:pt idx="185">
                  <c:v>960</c:v>
                </c:pt>
                <c:pt idx="186">
                  <c:v>961</c:v>
                </c:pt>
                <c:pt idx="187">
                  <c:v>963</c:v>
                </c:pt>
                <c:pt idx="188">
                  <c:v>964</c:v>
                </c:pt>
                <c:pt idx="189">
                  <c:v>965</c:v>
                </c:pt>
                <c:pt idx="190">
                  <c:v>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40-4630-9BDD-B1C771137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0522"/>
        <c:axId val="79268121"/>
      </c:lineChart>
      <c:catAx>
        <c:axId val="700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Temperature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79268121"/>
        <c:crosses val="autoZero"/>
        <c:auto val="1"/>
        <c:lblAlgn val="ctr"/>
        <c:lblOffset val="100"/>
        <c:noMultiLvlLbl val="0"/>
      </c:catAx>
      <c:valAx>
        <c:axId val="79268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ADC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7005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23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19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zoomScaleNormal="100" workbookViewId="0">
      <pane ySplit="8" topLeftCell="A9" activePane="bottomLeft" state="frozen"/>
      <selection pane="bottomLeft" sqref="A1:E1"/>
    </sheetView>
  </sheetViews>
  <sheetFormatPr defaultColWidth="8.6328125" defaultRowHeight="14.5"/>
  <cols>
    <col min="1" max="1" width="10" customWidth="1"/>
    <col min="2" max="4" width="14" customWidth="1"/>
    <col min="5" max="5" width="16" customWidth="1"/>
  </cols>
  <sheetData>
    <row r="1" spans="1:5" ht="24" customHeight="1">
      <c r="A1" s="3" t="s">
        <v>0</v>
      </c>
      <c r="B1" s="3"/>
      <c r="C1" s="3"/>
      <c r="D1" s="3"/>
      <c r="E1" s="3"/>
    </row>
    <row r="2" spans="1:5">
      <c r="A2" s="4" t="s">
        <v>1</v>
      </c>
      <c r="B2" s="2" t="s">
        <v>2</v>
      </c>
      <c r="C2" s="2"/>
      <c r="D2" s="2"/>
      <c r="E2" s="2"/>
    </row>
    <row r="3" spans="1:5">
      <c r="A3" s="4" t="s">
        <v>3</v>
      </c>
      <c r="B3" s="2" t="s">
        <v>4</v>
      </c>
      <c r="C3" s="2"/>
      <c r="D3" s="2"/>
      <c r="E3" s="2"/>
    </row>
    <row r="4" spans="1:5">
      <c r="A4" s="4" t="s">
        <v>5</v>
      </c>
      <c r="B4" s="2" t="s">
        <v>6</v>
      </c>
      <c r="C4" s="2"/>
      <c r="D4" s="2"/>
      <c r="E4" s="2"/>
    </row>
    <row r="5" spans="1:5">
      <c r="A5" s="4" t="s">
        <v>7</v>
      </c>
      <c r="B5" s="2" t="s">
        <v>8</v>
      </c>
      <c r="C5" s="2"/>
      <c r="D5" s="2"/>
      <c r="E5" s="2"/>
    </row>
    <row r="6" spans="1:5">
      <c r="A6" s="4" t="s">
        <v>9</v>
      </c>
      <c r="B6" s="2" t="s">
        <v>10</v>
      </c>
      <c r="C6" s="2"/>
      <c r="D6" s="2"/>
      <c r="E6" s="2"/>
    </row>
    <row r="8" spans="1:5" ht="21.75" customHeight="1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</row>
    <row r="9" spans="1:5">
      <c r="A9" s="6">
        <v>-40</v>
      </c>
      <c r="B9" s="7">
        <v>1569.605</v>
      </c>
      <c r="C9" s="8">
        <v>1675.991</v>
      </c>
      <c r="D9" s="7">
        <v>1787.9770000000001</v>
      </c>
      <c r="E9" s="9">
        <f t="shared" ref="E9:E40" si="0">ROUND((D9-B9)/C9/2*100,2)</f>
        <v>6.51</v>
      </c>
    </row>
    <row r="10" spans="1:5">
      <c r="A10" s="6">
        <v>-39</v>
      </c>
      <c r="B10" s="7">
        <v>1467.665</v>
      </c>
      <c r="C10" s="8">
        <v>1566.079</v>
      </c>
      <c r="D10" s="7">
        <v>1669.588</v>
      </c>
      <c r="E10" s="9">
        <f t="shared" si="0"/>
        <v>6.45</v>
      </c>
    </row>
    <row r="11" spans="1:5">
      <c r="A11" s="6">
        <v>-38</v>
      </c>
      <c r="B11" s="7">
        <v>1373.68</v>
      </c>
      <c r="C11" s="8">
        <v>1464.8119999999999</v>
      </c>
      <c r="D11" s="7">
        <v>1560.5840000000001</v>
      </c>
      <c r="E11" s="9">
        <f t="shared" si="0"/>
        <v>6.38</v>
      </c>
    </row>
    <row r="12" spans="1:5">
      <c r="A12" s="6">
        <v>-37</v>
      </c>
      <c r="B12" s="7">
        <v>1286.8679999999999</v>
      </c>
      <c r="C12" s="8">
        <v>1371.336</v>
      </c>
      <c r="D12" s="7">
        <v>1460.0329999999999</v>
      </c>
      <c r="E12" s="9">
        <f t="shared" si="0"/>
        <v>6.31</v>
      </c>
    </row>
    <row r="13" spans="1:5">
      <c r="A13" s="6">
        <v>-36</v>
      </c>
      <c r="B13" s="7">
        <v>1206.54</v>
      </c>
      <c r="C13" s="8">
        <v>1284.8989999999999</v>
      </c>
      <c r="D13" s="7">
        <v>1367.116</v>
      </c>
      <c r="E13" s="9">
        <f t="shared" si="0"/>
        <v>6.25</v>
      </c>
    </row>
    <row r="14" spans="1:5">
      <c r="A14" s="6">
        <v>-35</v>
      </c>
      <c r="B14" s="7">
        <v>1132.095</v>
      </c>
      <c r="C14" s="8">
        <v>1204.8440000000001</v>
      </c>
      <c r="D14" s="7">
        <v>1281.1130000000001</v>
      </c>
      <c r="E14" s="9">
        <f t="shared" si="0"/>
        <v>6.18</v>
      </c>
    </row>
    <row r="15" spans="1:5">
      <c r="A15" s="6">
        <v>-34</v>
      </c>
      <c r="B15" s="7">
        <v>1062.9939999999999</v>
      </c>
      <c r="C15" s="8">
        <v>1130.5820000000001</v>
      </c>
      <c r="D15" s="7">
        <v>1201.3869999999999</v>
      </c>
      <c r="E15" s="9">
        <f t="shared" si="0"/>
        <v>6.12</v>
      </c>
    </row>
    <row r="16" spans="1:5">
      <c r="A16" s="6">
        <v>-33</v>
      </c>
      <c r="B16" s="7">
        <v>998.76300000000003</v>
      </c>
      <c r="C16" s="8">
        <v>1061.5989999999999</v>
      </c>
      <c r="D16" s="7">
        <v>1127.373</v>
      </c>
      <c r="E16" s="9">
        <f t="shared" si="0"/>
        <v>6.06</v>
      </c>
    </row>
    <row r="17" spans="1:5">
      <c r="A17" s="6">
        <v>-32</v>
      </c>
      <c r="B17" s="7">
        <v>938.98199999999997</v>
      </c>
      <c r="C17" s="8">
        <v>997.43499999999995</v>
      </c>
      <c r="D17" s="7">
        <v>1058.5740000000001</v>
      </c>
      <c r="E17" s="9">
        <f t="shared" si="0"/>
        <v>5.99</v>
      </c>
    </row>
    <row r="18" spans="1:5">
      <c r="A18" s="6">
        <v>-31</v>
      </c>
      <c r="B18" s="7">
        <v>883.27300000000002</v>
      </c>
      <c r="C18" s="8">
        <v>937.67899999999997</v>
      </c>
      <c r="D18" s="7">
        <v>994.54</v>
      </c>
      <c r="E18" s="9">
        <f t="shared" si="0"/>
        <v>5.93</v>
      </c>
    </row>
    <row r="19" spans="1:5">
      <c r="A19" s="6">
        <v>-30</v>
      </c>
      <c r="B19" s="7">
        <v>831.30200000000002</v>
      </c>
      <c r="C19" s="8">
        <v>881.96600000000001</v>
      </c>
      <c r="D19" s="7">
        <v>934.87599999999998</v>
      </c>
      <c r="E19" s="9">
        <f t="shared" si="0"/>
        <v>5.87</v>
      </c>
    </row>
    <row r="20" spans="1:5">
      <c r="A20" s="6">
        <v>-29</v>
      </c>
      <c r="B20" s="7">
        <v>782.76599999999996</v>
      </c>
      <c r="C20" s="8">
        <v>829.96799999999996</v>
      </c>
      <c r="D20" s="7">
        <v>879.22400000000005</v>
      </c>
      <c r="E20" s="9">
        <f t="shared" si="0"/>
        <v>5.81</v>
      </c>
    </row>
    <row r="21" spans="1:5">
      <c r="A21" s="6">
        <v>-28</v>
      </c>
      <c r="B21" s="7">
        <v>737.39499999999998</v>
      </c>
      <c r="C21" s="8">
        <v>781.38900000000001</v>
      </c>
      <c r="D21" s="7">
        <v>827.26300000000003</v>
      </c>
      <c r="E21" s="9">
        <f t="shared" si="0"/>
        <v>5.75</v>
      </c>
    </row>
    <row r="22" spans="1:5">
      <c r="A22" s="6">
        <v>-27</v>
      </c>
      <c r="B22" s="7">
        <v>694.94399999999996</v>
      </c>
      <c r="C22" s="8">
        <v>735.96500000000003</v>
      </c>
      <c r="D22" s="7">
        <v>778.70500000000004</v>
      </c>
      <c r="E22" s="9">
        <f t="shared" si="0"/>
        <v>5.69</v>
      </c>
    </row>
    <row r="23" spans="1:5">
      <c r="A23" s="6">
        <v>-26</v>
      </c>
      <c r="B23" s="7">
        <v>655.19399999999996</v>
      </c>
      <c r="C23" s="8">
        <v>693.45500000000004</v>
      </c>
      <c r="D23" s="7">
        <v>733.29100000000005</v>
      </c>
      <c r="E23" s="9">
        <f t="shared" si="0"/>
        <v>5.63</v>
      </c>
    </row>
    <row r="24" spans="1:5">
      <c r="A24" s="6">
        <v>-25</v>
      </c>
      <c r="B24" s="7">
        <v>617.94299999999998</v>
      </c>
      <c r="C24" s="8">
        <v>653.64300000000003</v>
      </c>
      <c r="D24" s="7">
        <v>690.78300000000002</v>
      </c>
      <c r="E24" s="9">
        <f t="shared" si="0"/>
        <v>5.57</v>
      </c>
    </row>
    <row r="25" spans="1:5">
      <c r="A25" s="6">
        <v>-24</v>
      </c>
      <c r="B25" s="7">
        <v>583.01199999999994</v>
      </c>
      <c r="C25" s="8">
        <v>616.33199999999999</v>
      </c>
      <c r="D25" s="7">
        <v>650.96900000000005</v>
      </c>
      <c r="E25" s="9">
        <f t="shared" si="0"/>
        <v>5.51</v>
      </c>
    </row>
    <row r="26" spans="1:5">
      <c r="A26" s="6">
        <v>-23</v>
      </c>
      <c r="B26" s="7">
        <v>550.23500000000001</v>
      </c>
      <c r="C26" s="8">
        <v>581.34100000000001</v>
      </c>
      <c r="D26" s="7">
        <v>613.65300000000002</v>
      </c>
      <c r="E26" s="9">
        <f t="shared" si="0"/>
        <v>5.45</v>
      </c>
    </row>
    <row r="27" spans="1:5">
      <c r="A27" s="6">
        <v>-22</v>
      </c>
      <c r="B27" s="7">
        <v>519.46100000000001</v>
      </c>
      <c r="C27" s="8">
        <v>548.50900000000001</v>
      </c>
      <c r="D27" s="7">
        <v>578.65899999999999</v>
      </c>
      <c r="E27" s="9">
        <f t="shared" si="0"/>
        <v>5.4</v>
      </c>
    </row>
    <row r="28" spans="1:5">
      <c r="A28" s="6">
        <v>-21</v>
      </c>
      <c r="B28" s="7">
        <v>490.553</v>
      </c>
      <c r="C28" s="8">
        <v>517.68499999999995</v>
      </c>
      <c r="D28" s="7">
        <v>545.82500000000005</v>
      </c>
      <c r="E28" s="9">
        <f t="shared" si="0"/>
        <v>5.34</v>
      </c>
    </row>
    <row r="29" spans="1:5">
      <c r="A29" s="6">
        <v>-20</v>
      </c>
      <c r="B29" s="7">
        <v>463.38400000000001</v>
      </c>
      <c r="C29" s="8">
        <v>488.73200000000003</v>
      </c>
      <c r="D29" s="7">
        <v>515.00199999999995</v>
      </c>
      <c r="E29" s="9">
        <f t="shared" si="0"/>
        <v>5.28</v>
      </c>
    </row>
    <row r="30" spans="1:5">
      <c r="A30" s="6">
        <v>-19</v>
      </c>
      <c r="B30" s="7">
        <v>437.839</v>
      </c>
      <c r="C30" s="8">
        <v>461.52499999999998</v>
      </c>
      <c r="D30" s="7">
        <v>486.05399999999997</v>
      </c>
      <c r="E30" s="9">
        <f t="shared" si="0"/>
        <v>5.22</v>
      </c>
    </row>
    <row r="31" spans="1:5">
      <c r="A31" s="6">
        <v>-18</v>
      </c>
      <c r="B31" s="7">
        <v>413.81099999999998</v>
      </c>
      <c r="C31" s="8">
        <v>435.94799999999998</v>
      </c>
      <c r="D31" s="7">
        <v>458.85599999999999</v>
      </c>
      <c r="E31" s="9">
        <f t="shared" si="0"/>
        <v>5.17</v>
      </c>
    </row>
    <row r="32" spans="1:5">
      <c r="A32" s="6">
        <v>-17</v>
      </c>
      <c r="B32" s="7">
        <v>391.20100000000002</v>
      </c>
      <c r="C32" s="8">
        <v>411.89499999999998</v>
      </c>
      <c r="D32" s="7">
        <v>433.29300000000001</v>
      </c>
      <c r="E32" s="9">
        <f t="shared" si="0"/>
        <v>5.1100000000000003</v>
      </c>
    </row>
    <row r="33" spans="1:5">
      <c r="A33" s="6">
        <v>-16</v>
      </c>
      <c r="B33" s="7">
        <v>369.91899999999998</v>
      </c>
      <c r="C33" s="8">
        <v>389.26799999999997</v>
      </c>
      <c r="D33" s="7">
        <v>409.25900000000001</v>
      </c>
      <c r="E33" s="9">
        <f t="shared" si="0"/>
        <v>5.05</v>
      </c>
    </row>
    <row r="34" spans="1:5">
      <c r="A34" s="6">
        <v>-15</v>
      </c>
      <c r="B34" s="7">
        <v>349.88099999999997</v>
      </c>
      <c r="C34" s="8">
        <v>367.97399999999999</v>
      </c>
      <c r="D34" s="7">
        <v>386.654</v>
      </c>
      <c r="E34" s="9">
        <f t="shared" si="0"/>
        <v>5</v>
      </c>
    </row>
    <row r="35" spans="1:5">
      <c r="A35" s="6">
        <v>-14</v>
      </c>
      <c r="B35" s="7">
        <v>331.00900000000001</v>
      </c>
      <c r="C35" s="8">
        <v>347.93099999999998</v>
      </c>
      <c r="D35" s="7">
        <v>365.38900000000001</v>
      </c>
      <c r="E35" s="9">
        <f t="shared" si="0"/>
        <v>4.9400000000000004</v>
      </c>
    </row>
    <row r="36" spans="1:5">
      <c r="A36" s="6">
        <v>-13</v>
      </c>
      <c r="B36" s="7">
        <v>313.23</v>
      </c>
      <c r="C36" s="8">
        <v>329.05900000000003</v>
      </c>
      <c r="D36" s="7">
        <v>345.37799999999999</v>
      </c>
      <c r="E36" s="9">
        <f t="shared" si="0"/>
        <v>4.88</v>
      </c>
    </row>
    <row r="37" spans="1:5">
      <c r="A37" s="6">
        <v>-12</v>
      </c>
      <c r="B37" s="7">
        <v>296.47699999999998</v>
      </c>
      <c r="C37" s="8">
        <v>311.28699999999998</v>
      </c>
      <c r="D37" s="7">
        <v>326.54300000000001</v>
      </c>
      <c r="E37" s="9">
        <f t="shared" si="0"/>
        <v>4.83</v>
      </c>
    </row>
    <row r="38" spans="1:5">
      <c r="A38" s="6">
        <v>-11</v>
      </c>
      <c r="B38" s="7">
        <v>280.68799999999999</v>
      </c>
      <c r="C38" s="8">
        <v>294.54700000000003</v>
      </c>
      <c r="D38" s="7">
        <v>308.81200000000001</v>
      </c>
      <c r="E38" s="9">
        <f t="shared" si="0"/>
        <v>4.7699999999999996</v>
      </c>
    </row>
    <row r="39" spans="1:5">
      <c r="A39" s="6">
        <v>-10</v>
      </c>
      <c r="B39" s="7">
        <v>265.80500000000001</v>
      </c>
      <c r="C39" s="8">
        <v>278.77499999999998</v>
      </c>
      <c r="D39" s="7">
        <v>292.11500000000001</v>
      </c>
      <c r="E39" s="9">
        <f t="shared" si="0"/>
        <v>4.72</v>
      </c>
    </row>
    <row r="40" spans="1:5">
      <c r="A40" s="6">
        <v>-9</v>
      </c>
      <c r="B40" s="7">
        <v>251.773</v>
      </c>
      <c r="C40" s="8">
        <v>263.91399999999999</v>
      </c>
      <c r="D40" s="7">
        <v>276.39100000000002</v>
      </c>
      <c r="E40" s="9">
        <f t="shared" si="0"/>
        <v>4.66</v>
      </c>
    </row>
    <row r="41" spans="1:5">
      <c r="A41" s="6">
        <v>-8</v>
      </c>
      <c r="B41" s="7">
        <v>238.541</v>
      </c>
      <c r="C41" s="8">
        <v>249.90700000000001</v>
      </c>
      <c r="D41" s="7">
        <v>261.58</v>
      </c>
      <c r="E41" s="9">
        <f t="shared" ref="E41:E72" si="1">ROUND((D41-B41)/C41/2*100,2)</f>
        <v>4.6100000000000003</v>
      </c>
    </row>
    <row r="42" spans="1:5">
      <c r="A42" s="6">
        <v>-7</v>
      </c>
      <c r="B42" s="7">
        <v>226.06100000000001</v>
      </c>
      <c r="C42" s="8">
        <v>236.70500000000001</v>
      </c>
      <c r="D42" s="7">
        <v>247.626</v>
      </c>
      <c r="E42" s="9">
        <f t="shared" si="1"/>
        <v>4.5599999999999996</v>
      </c>
    </row>
    <row r="43" spans="1:5">
      <c r="A43" s="6">
        <v>-6</v>
      </c>
      <c r="B43" s="7">
        <v>214.29</v>
      </c>
      <c r="C43" s="8">
        <v>224.25800000000001</v>
      </c>
      <c r="D43" s="7">
        <v>234.47800000000001</v>
      </c>
      <c r="E43" s="9">
        <f t="shared" si="1"/>
        <v>4.5</v>
      </c>
    </row>
    <row r="44" spans="1:5">
      <c r="A44" s="6">
        <v>-5</v>
      </c>
      <c r="B44" s="7">
        <v>203.185</v>
      </c>
      <c r="C44" s="8">
        <v>212.52199999999999</v>
      </c>
      <c r="D44" s="7">
        <v>222.089</v>
      </c>
      <c r="E44" s="9">
        <f t="shared" si="1"/>
        <v>4.45</v>
      </c>
    </row>
    <row r="45" spans="1:5">
      <c r="A45" s="6">
        <v>-4</v>
      </c>
      <c r="B45" s="7">
        <v>192.708</v>
      </c>
      <c r="C45" s="8">
        <v>201.45599999999999</v>
      </c>
      <c r="D45" s="7">
        <v>210.411</v>
      </c>
      <c r="E45" s="9">
        <f t="shared" si="1"/>
        <v>4.3899999999999997</v>
      </c>
    </row>
    <row r="46" spans="1:5">
      <c r="A46" s="6">
        <v>-3</v>
      </c>
      <c r="B46" s="7">
        <v>182.84</v>
      </c>
      <c r="C46" s="8">
        <v>191.03899999999999</v>
      </c>
      <c r="D46" s="7">
        <v>199.42500000000001</v>
      </c>
      <c r="E46" s="9">
        <f t="shared" si="1"/>
        <v>4.34</v>
      </c>
    </row>
    <row r="47" spans="1:5">
      <c r="A47" s="6">
        <v>-2</v>
      </c>
      <c r="B47" s="7">
        <v>173.49100000000001</v>
      </c>
      <c r="C47" s="8">
        <v>181.17400000000001</v>
      </c>
      <c r="D47" s="7">
        <v>189.02699999999999</v>
      </c>
      <c r="E47" s="9">
        <f t="shared" si="1"/>
        <v>4.29</v>
      </c>
    </row>
    <row r="48" spans="1:5">
      <c r="A48" s="6">
        <v>-1</v>
      </c>
      <c r="B48" s="7">
        <v>164.685</v>
      </c>
      <c r="C48" s="8">
        <v>171.887</v>
      </c>
      <c r="D48" s="7">
        <v>179.244</v>
      </c>
      <c r="E48" s="9">
        <f t="shared" si="1"/>
        <v>4.24</v>
      </c>
    </row>
    <row r="49" spans="1:5">
      <c r="A49" s="6">
        <v>0</v>
      </c>
      <c r="B49" s="7">
        <v>156.37200000000001</v>
      </c>
      <c r="C49" s="8">
        <v>163.126</v>
      </c>
      <c r="D49" s="7">
        <v>170.018</v>
      </c>
      <c r="E49" s="9">
        <f t="shared" si="1"/>
        <v>4.18</v>
      </c>
    </row>
    <row r="50" spans="1:5">
      <c r="A50" s="6">
        <v>1</v>
      </c>
      <c r="B50" s="7">
        <v>148.52500000000001</v>
      </c>
      <c r="C50" s="8">
        <v>154.85900000000001</v>
      </c>
      <c r="D50" s="7">
        <v>161.31800000000001</v>
      </c>
      <c r="E50" s="9">
        <f t="shared" si="1"/>
        <v>4.13</v>
      </c>
    </row>
    <row r="51" spans="1:5">
      <c r="A51" s="6">
        <v>2</v>
      </c>
      <c r="B51" s="7">
        <v>141.11600000000001</v>
      </c>
      <c r="C51" s="8">
        <v>147.05799999999999</v>
      </c>
      <c r="D51" s="7">
        <v>153.113</v>
      </c>
      <c r="E51" s="9">
        <f t="shared" si="1"/>
        <v>4.08</v>
      </c>
    </row>
    <row r="52" spans="1:5">
      <c r="A52" s="6">
        <v>3</v>
      </c>
      <c r="B52" s="7">
        <v>134.12</v>
      </c>
      <c r="C52" s="8">
        <v>139.696</v>
      </c>
      <c r="D52" s="7">
        <v>145.37299999999999</v>
      </c>
      <c r="E52" s="9">
        <f t="shared" si="1"/>
        <v>4.03</v>
      </c>
    </row>
    <row r="53" spans="1:5">
      <c r="A53" s="6">
        <v>4</v>
      </c>
      <c r="B53" s="7">
        <v>127.51300000000001</v>
      </c>
      <c r="C53" s="8">
        <v>132.74700000000001</v>
      </c>
      <c r="D53" s="7">
        <v>138.071</v>
      </c>
      <c r="E53" s="9">
        <f t="shared" si="1"/>
        <v>3.98</v>
      </c>
    </row>
    <row r="54" spans="1:5">
      <c r="A54" s="6">
        <v>5</v>
      </c>
      <c r="B54" s="7">
        <v>121.274</v>
      </c>
      <c r="C54" s="8">
        <v>126.187</v>
      </c>
      <c r="D54" s="7">
        <v>131.18199999999999</v>
      </c>
      <c r="E54" s="9">
        <f t="shared" si="1"/>
        <v>3.93</v>
      </c>
    </row>
    <row r="55" spans="1:5">
      <c r="A55" s="6">
        <v>6</v>
      </c>
      <c r="B55" s="7">
        <v>115.38</v>
      </c>
      <c r="C55" s="8">
        <v>119.994</v>
      </c>
      <c r="D55" s="7">
        <v>124.681</v>
      </c>
      <c r="E55" s="9">
        <f t="shared" si="1"/>
        <v>3.88</v>
      </c>
    </row>
    <row r="56" spans="1:5">
      <c r="A56" s="6">
        <v>7</v>
      </c>
      <c r="B56" s="7">
        <v>109.813</v>
      </c>
      <c r="C56" s="8">
        <v>114.14700000000001</v>
      </c>
      <c r="D56" s="7">
        <v>118.54600000000001</v>
      </c>
      <c r="E56" s="9">
        <f t="shared" si="1"/>
        <v>3.83</v>
      </c>
    </row>
    <row r="57" spans="1:5">
      <c r="A57" s="6">
        <v>8</v>
      </c>
      <c r="B57" s="7">
        <v>104.55200000000001</v>
      </c>
      <c r="C57" s="8">
        <v>108.626</v>
      </c>
      <c r="D57" s="7">
        <v>112.756</v>
      </c>
      <c r="E57" s="9">
        <f t="shared" si="1"/>
        <v>3.78</v>
      </c>
    </row>
    <row r="58" spans="1:5">
      <c r="A58" s="6">
        <v>9</v>
      </c>
      <c r="B58" s="7">
        <v>99.581999999999994</v>
      </c>
      <c r="C58" s="8">
        <v>103.411</v>
      </c>
      <c r="D58" s="7">
        <v>107.29</v>
      </c>
      <c r="E58" s="9">
        <f t="shared" si="1"/>
        <v>3.73</v>
      </c>
    </row>
    <row r="59" spans="1:5">
      <c r="A59" s="6">
        <v>10</v>
      </c>
      <c r="B59" s="7">
        <v>94.885999999999996</v>
      </c>
      <c r="C59" s="8">
        <v>98.486000000000004</v>
      </c>
      <c r="D59" s="7">
        <v>102.13</v>
      </c>
      <c r="E59" s="9">
        <f t="shared" si="1"/>
        <v>3.68</v>
      </c>
    </row>
    <row r="60" spans="1:5">
      <c r="A60" s="6">
        <v>11</v>
      </c>
      <c r="B60" s="7">
        <v>90.447000000000003</v>
      </c>
      <c r="C60" s="8">
        <v>93.832999999999998</v>
      </c>
      <c r="D60" s="7">
        <v>97.257999999999996</v>
      </c>
      <c r="E60" s="9">
        <f t="shared" si="1"/>
        <v>3.63</v>
      </c>
    </row>
    <row r="61" spans="1:5">
      <c r="A61" s="6">
        <v>12</v>
      </c>
      <c r="B61" s="7">
        <v>86.251000000000005</v>
      </c>
      <c r="C61" s="8">
        <v>89.436999999999998</v>
      </c>
      <c r="D61" s="7">
        <v>92.656999999999996</v>
      </c>
      <c r="E61" s="9">
        <f t="shared" si="1"/>
        <v>3.58</v>
      </c>
    </row>
    <row r="62" spans="1:5">
      <c r="A62" s="6">
        <v>13</v>
      </c>
      <c r="B62" s="7">
        <v>82.284000000000006</v>
      </c>
      <c r="C62" s="8">
        <v>85.283000000000001</v>
      </c>
      <c r="D62" s="7">
        <v>88.311999999999998</v>
      </c>
      <c r="E62" s="9">
        <f t="shared" si="1"/>
        <v>3.53</v>
      </c>
    </row>
    <row r="63" spans="1:5">
      <c r="A63" s="6">
        <v>14</v>
      </c>
      <c r="B63" s="7">
        <v>78.534000000000006</v>
      </c>
      <c r="C63" s="8">
        <v>81.358000000000004</v>
      </c>
      <c r="D63" s="7">
        <v>84.206999999999994</v>
      </c>
      <c r="E63" s="9">
        <f t="shared" si="1"/>
        <v>3.49</v>
      </c>
    </row>
    <row r="64" spans="1:5">
      <c r="A64" s="6">
        <v>15</v>
      </c>
      <c r="B64" s="7">
        <v>74.986999999999995</v>
      </c>
      <c r="C64" s="8">
        <v>77.647000000000006</v>
      </c>
      <c r="D64" s="7">
        <v>80.33</v>
      </c>
      <c r="E64" s="9">
        <f t="shared" si="1"/>
        <v>3.44</v>
      </c>
    </row>
    <row r="65" spans="1:5">
      <c r="A65" s="6">
        <v>16</v>
      </c>
      <c r="B65" s="7">
        <v>71.632999999999996</v>
      </c>
      <c r="C65" s="8">
        <v>74.14</v>
      </c>
      <c r="D65" s="7">
        <v>76.665999999999997</v>
      </c>
      <c r="E65" s="9">
        <f t="shared" si="1"/>
        <v>3.39</v>
      </c>
    </row>
    <row r="66" spans="1:5">
      <c r="A66" s="6">
        <v>17</v>
      </c>
      <c r="B66" s="7">
        <v>68.460999999999999</v>
      </c>
      <c r="C66" s="8">
        <v>70.823999999999998</v>
      </c>
      <c r="D66" s="7">
        <v>73.203000000000003</v>
      </c>
      <c r="E66" s="9">
        <f t="shared" si="1"/>
        <v>3.35</v>
      </c>
    </row>
    <row r="67" spans="1:5">
      <c r="A67" s="6">
        <v>18</v>
      </c>
      <c r="B67" s="7">
        <v>65.459000000000003</v>
      </c>
      <c r="C67" s="8">
        <v>67.688999999999993</v>
      </c>
      <c r="D67" s="7">
        <v>69.930999999999997</v>
      </c>
      <c r="E67" s="9">
        <f t="shared" si="1"/>
        <v>3.3</v>
      </c>
    </row>
    <row r="68" spans="1:5">
      <c r="A68" s="6">
        <v>19</v>
      </c>
      <c r="B68" s="7">
        <v>62.619</v>
      </c>
      <c r="C68" s="8">
        <v>64.722999999999999</v>
      </c>
      <c r="D68" s="7">
        <v>66.837000000000003</v>
      </c>
      <c r="E68" s="9">
        <f t="shared" si="1"/>
        <v>3.26</v>
      </c>
    </row>
    <row r="69" spans="1:5">
      <c r="A69" s="6">
        <v>20</v>
      </c>
      <c r="B69" s="7">
        <v>59.932000000000002</v>
      </c>
      <c r="C69" s="8">
        <v>61.917999999999999</v>
      </c>
      <c r="D69" s="7">
        <v>63.911999999999999</v>
      </c>
      <c r="E69" s="9">
        <f t="shared" si="1"/>
        <v>3.21</v>
      </c>
    </row>
    <row r="70" spans="1:5">
      <c r="A70" s="6">
        <v>21</v>
      </c>
      <c r="B70" s="7">
        <v>57.381</v>
      </c>
      <c r="C70" s="8">
        <v>59.265000000000001</v>
      </c>
      <c r="D70" s="7">
        <v>61.146000000000001</v>
      </c>
      <c r="E70" s="9">
        <f t="shared" si="1"/>
        <v>3.18</v>
      </c>
    </row>
    <row r="71" spans="1:5">
      <c r="A71" s="6">
        <v>22</v>
      </c>
      <c r="B71" s="7">
        <v>54.960999999999999</v>
      </c>
      <c r="C71" s="8">
        <v>56.753999999999998</v>
      </c>
      <c r="D71" s="7">
        <v>58.530999999999999</v>
      </c>
      <c r="E71" s="9">
        <f t="shared" si="1"/>
        <v>3.15</v>
      </c>
    </row>
    <row r="72" spans="1:5">
      <c r="A72" s="6">
        <v>23</v>
      </c>
      <c r="B72" s="7">
        <v>52.701999999999998</v>
      </c>
      <c r="C72" s="8">
        <v>54.378</v>
      </c>
      <c r="D72" s="7">
        <v>56.055999999999997</v>
      </c>
      <c r="E72" s="9">
        <f t="shared" si="1"/>
        <v>3.08</v>
      </c>
    </row>
    <row r="73" spans="1:5">
      <c r="A73" s="6">
        <v>24</v>
      </c>
      <c r="B73" s="7">
        <v>50.543999999999997</v>
      </c>
      <c r="C73" s="8">
        <v>52.128999999999998</v>
      </c>
      <c r="D73" s="7">
        <v>53.715000000000003</v>
      </c>
      <c r="E73" s="9">
        <f t="shared" ref="E73:E104" si="2">ROUND((D73-B73)/C73/2*100,2)</f>
        <v>3.04</v>
      </c>
    </row>
    <row r="74" spans="1:5">
      <c r="A74" s="10">
        <v>25</v>
      </c>
      <c r="B74" s="11">
        <v>48.5</v>
      </c>
      <c r="C74" s="12">
        <v>50</v>
      </c>
      <c r="D74" s="11">
        <v>51.5</v>
      </c>
      <c r="E74" s="13">
        <f t="shared" si="2"/>
        <v>3</v>
      </c>
    </row>
    <row r="75" spans="1:5">
      <c r="A75" s="6">
        <v>26</v>
      </c>
      <c r="B75" s="7">
        <v>46.405999999999999</v>
      </c>
      <c r="C75" s="8">
        <v>47.862000000000002</v>
      </c>
      <c r="D75" s="7">
        <v>49.319000000000003</v>
      </c>
      <c r="E75" s="9">
        <f t="shared" si="2"/>
        <v>3.04</v>
      </c>
    </row>
    <row r="76" spans="1:5">
      <c r="A76" s="6">
        <v>27</v>
      </c>
      <c r="B76" s="7">
        <v>44.411999999999999</v>
      </c>
      <c r="C76" s="8">
        <v>45.826000000000001</v>
      </c>
      <c r="D76" s="7">
        <v>47.241999999999997</v>
      </c>
      <c r="E76" s="9">
        <f t="shared" si="2"/>
        <v>3.09</v>
      </c>
    </row>
    <row r="77" spans="1:5">
      <c r="A77" s="6">
        <v>28</v>
      </c>
      <c r="B77" s="7">
        <v>42.514000000000003</v>
      </c>
      <c r="C77" s="8">
        <v>43.886000000000003</v>
      </c>
      <c r="D77" s="7">
        <v>45.262</v>
      </c>
      <c r="E77" s="9">
        <f t="shared" si="2"/>
        <v>3.13</v>
      </c>
    </row>
    <row r="78" spans="1:5">
      <c r="A78" s="6">
        <v>29</v>
      </c>
      <c r="B78" s="7">
        <v>40.707000000000001</v>
      </c>
      <c r="C78" s="8">
        <v>42.039000000000001</v>
      </c>
      <c r="D78" s="7">
        <v>43.375</v>
      </c>
      <c r="E78" s="9">
        <f t="shared" si="2"/>
        <v>3.17</v>
      </c>
    </row>
    <row r="79" spans="1:5">
      <c r="A79" s="6">
        <v>30</v>
      </c>
      <c r="B79" s="7">
        <v>38.985999999999997</v>
      </c>
      <c r="C79" s="8">
        <v>40.279000000000003</v>
      </c>
      <c r="D79" s="7">
        <v>41.576999999999998</v>
      </c>
      <c r="E79" s="9">
        <f t="shared" si="2"/>
        <v>3.22</v>
      </c>
    </row>
    <row r="80" spans="1:5">
      <c r="A80" s="6">
        <v>31</v>
      </c>
      <c r="B80" s="7">
        <v>37.345999999999997</v>
      </c>
      <c r="C80" s="8">
        <v>38.600999999999999</v>
      </c>
      <c r="D80" s="7">
        <v>39.862000000000002</v>
      </c>
      <c r="E80" s="9">
        <f t="shared" si="2"/>
        <v>3.26</v>
      </c>
    </row>
    <row r="81" spans="1:5">
      <c r="A81" s="6">
        <v>32</v>
      </c>
      <c r="B81" s="7">
        <v>35.783999999999999</v>
      </c>
      <c r="C81" s="8">
        <v>37.002000000000002</v>
      </c>
      <c r="D81" s="7">
        <v>38.226999999999997</v>
      </c>
      <c r="E81" s="9">
        <f t="shared" si="2"/>
        <v>3.3</v>
      </c>
    </row>
    <row r="82" spans="1:5">
      <c r="A82" s="6">
        <v>33</v>
      </c>
      <c r="B82" s="7">
        <v>34.295000000000002</v>
      </c>
      <c r="C82" s="8">
        <v>35.476999999999997</v>
      </c>
      <c r="D82" s="7">
        <v>36.667000000000002</v>
      </c>
      <c r="E82" s="9">
        <f t="shared" si="2"/>
        <v>3.34</v>
      </c>
    </row>
    <row r="83" spans="1:5">
      <c r="A83" s="6">
        <v>34</v>
      </c>
      <c r="B83" s="7">
        <v>32.875</v>
      </c>
      <c r="C83" s="8">
        <v>34.021999999999998</v>
      </c>
      <c r="D83" s="7">
        <v>35.177999999999997</v>
      </c>
      <c r="E83" s="9">
        <f t="shared" si="2"/>
        <v>3.38</v>
      </c>
    </row>
    <row r="84" spans="1:5">
      <c r="A84" s="6">
        <v>35</v>
      </c>
      <c r="B84" s="7">
        <v>31.521000000000001</v>
      </c>
      <c r="C84" s="8">
        <v>32.634999999999998</v>
      </c>
      <c r="D84" s="7">
        <v>33.758000000000003</v>
      </c>
      <c r="E84" s="9">
        <f t="shared" si="2"/>
        <v>3.43</v>
      </c>
    </row>
    <row r="85" spans="1:5">
      <c r="A85" s="6">
        <v>36</v>
      </c>
      <c r="B85" s="7">
        <v>30.23</v>
      </c>
      <c r="C85" s="8">
        <v>31.311</v>
      </c>
      <c r="D85" s="7">
        <v>32.402000000000001</v>
      </c>
      <c r="E85" s="9">
        <f t="shared" si="2"/>
        <v>3.47</v>
      </c>
    </row>
    <row r="86" spans="1:5">
      <c r="A86" s="6">
        <v>37</v>
      </c>
      <c r="B86" s="7">
        <v>28.998000000000001</v>
      </c>
      <c r="C86" s="8">
        <v>30.047999999999998</v>
      </c>
      <c r="D86" s="7">
        <v>31.106999999999999</v>
      </c>
      <c r="E86" s="9">
        <f t="shared" si="2"/>
        <v>3.51</v>
      </c>
    </row>
    <row r="87" spans="1:5">
      <c r="A87" s="6">
        <v>38</v>
      </c>
      <c r="B87" s="7">
        <v>27.823</v>
      </c>
      <c r="C87" s="8">
        <v>28.841999999999999</v>
      </c>
      <c r="D87" s="7">
        <v>29.870999999999999</v>
      </c>
      <c r="E87" s="9">
        <f t="shared" si="2"/>
        <v>3.55</v>
      </c>
    </row>
    <row r="88" spans="1:5">
      <c r="A88" s="6">
        <v>39</v>
      </c>
      <c r="B88" s="7">
        <v>26.701000000000001</v>
      </c>
      <c r="C88" s="8">
        <v>27.69</v>
      </c>
      <c r="D88" s="7">
        <v>28.69</v>
      </c>
      <c r="E88" s="9">
        <f t="shared" si="2"/>
        <v>3.59</v>
      </c>
    </row>
    <row r="89" spans="1:5">
      <c r="A89" s="6">
        <v>40</v>
      </c>
      <c r="B89" s="7">
        <v>25.631</v>
      </c>
      <c r="C89" s="8">
        <v>26.591000000000001</v>
      </c>
      <c r="D89" s="7">
        <v>27.562000000000001</v>
      </c>
      <c r="E89" s="9">
        <f t="shared" si="2"/>
        <v>3.63</v>
      </c>
    </row>
    <row r="90" spans="1:5">
      <c r="A90" s="6">
        <v>41</v>
      </c>
      <c r="B90" s="7">
        <v>24.608000000000001</v>
      </c>
      <c r="C90" s="8">
        <v>25.54</v>
      </c>
      <c r="D90" s="7">
        <v>26.484000000000002</v>
      </c>
      <c r="E90" s="9">
        <f t="shared" si="2"/>
        <v>3.67</v>
      </c>
    </row>
    <row r="91" spans="1:5">
      <c r="A91" s="6">
        <v>42</v>
      </c>
      <c r="B91" s="7">
        <v>23.632000000000001</v>
      </c>
      <c r="C91" s="8">
        <v>24.536999999999999</v>
      </c>
      <c r="D91" s="7">
        <v>25.452999999999999</v>
      </c>
      <c r="E91" s="9">
        <f t="shared" si="2"/>
        <v>3.71</v>
      </c>
    </row>
    <row r="92" spans="1:5">
      <c r="A92" s="6">
        <v>43</v>
      </c>
      <c r="B92" s="7">
        <v>22.699000000000002</v>
      </c>
      <c r="C92" s="8">
        <v>23.577000000000002</v>
      </c>
      <c r="D92" s="7">
        <v>24.468</v>
      </c>
      <c r="E92" s="9">
        <f t="shared" si="2"/>
        <v>3.75</v>
      </c>
    </row>
    <row r="93" spans="1:5">
      <c r="A93" s="6">
        <v>44</v>
      </c>
      <c r="B93" s="7">
        <v>21.808</v>
      </c>
      <c r="C93" s="8">
        <v>22.661000000000001</v>
      </c>
      <c r="D93" s="7">
        <v>23.526</v>
      </c>
      <c r="E93" s="9">
        <f t="shared" si="2"/>
        <v>3.79</v>
      </c>
    </row>
    <row r="94" spans="1:5">
      <c r="A94" s="6">
        <v>45</v>
      </c>
      <c r="B94" s="7">
        <v>20.956</v>
      </c>
      <c r="C94" s="8">
        <v>21.783999999999999</v>
      </c>
      <c r="D94" s="7">
        <v>22.625</v>
      </c>
      <c r="E94" s="9">
        <f t="shared" si="2"/>
        <v>3.83</v>
      </c>
    </row>
    <row r="95" spans="1:5">
      <c r="A95" s="6">
        <v>46</v>
      </c>
      <c r="B95" s="7">
        <v>20.141999999999999</v>
      </c>
      <c r="C95" s="8">
        <v>20.946000000000002</v>
      </c>
      <c r="D95" s="7">
        <v>21.763000000000002</v>
      </c>
      <c r="E95" s="9">
        <f t="shared" si="2"/>
        <v>3.87</v>
      </c>
    </row>
    <row r="96" spans="1:5">
      <c r="A96" s="6">
        <v>47</v>
      </c>
      <c r="B96" s="7">
        <v>19.363</v>
      </c>
      <c r="C96" s="8">
        <v>20.143999999999998</v>
      </c>
      <c r="D96" s="7">
        <v>20.937999999999999</v>
      </c>
      <c r="E96" s="9">
        <f t="shared" si="2"/>
        <v>3.91</v>
      </c>
    </row>
    <row r="97" spans="1:5">
      <c r="A97" s="6">
        <v>48</v>
      </c>
      <c r="B97" s="7">
        <v>18.619</v>
      </c>
      <c r="C97" s="8">
        <v>19.376999999999999</v>
      </c>
      <c r="D97" s="7">
        <v>20.149000000000001</v>
      </c>
      <c r="E97" s="9">
        <f t="shared" si="2"/>
        <v>3.95</v>
      </c>
    </row>
    <row r="98" spans="1:5">
      <c r="A98" s="6">
        <v>49</v>
      </c>
      <c r="B98" s="7">
        <v>17.905999999999999</v>
      </c>
      <c r="C98" s="8">
        <v>18.643000000000001</v>
      </c>
      <c r="D98" s="7">
        <v>19.393000000000001</v>
      </c>
      <c r="E98" s="9">
        <f t="shared" si="2"/>
        <v>3.99</v>
      </c>
    </row>
    <row r="99" spans="1:5">
      <c r="A99" s="6">
        <v>50</v>
      </c>
      <c r="B99" s="7">
        <v>17.225000000000001</v>
      </c>
      <c r="C99" s="8">
        <v>17.940999999999999</v>
      </c>
      <c r="D99" s="7">
        <v>18.670000000000002</v>
      </c>
      <c r="E99" s="9">
        <f t="shared" si="2"/>
        <v>4.03</v>
      </c>
    </row>
    <row r="100" spans="1:5">
      <c r="A100" s="6">
        <v>51</v>
      </c>
      <c r="B100" s="7">
        <v>16.573</v>
      </c>
      <c r="C100" s="8">
        <v>17.268999999999998</v>
      </c>
      <c r="D100" s="7">
        <v>17.977</v>
      </c>
      <c r="E100" s="9">
        <f t="shared" si="2"/>
        <v>4.07</v>
      </c>
    </row>
    <row r="101" spans="1:5">
      <c r="A101" s="6">
        <v>52</v>
      </c>
      <c r="B101" s="7">
        <v>15.949</v>
      </c>
      <c r="C101" s="8">
        <v>16.625</v>
      </c>
      <c r="D101" s="7">
        <v>17.312999999999999</v>
      </c>
      <c r="E101" s="9">
        <f t="shared" si="2"/>
        <v>4.0999999999999996</v>
      </c>
    </row>
    <row r="102" spans="1:5">
      <c r="A102" s="6">
        <v>53</v>
      </c>
      <c r="B102" s="7">
        <v>15.352</v>
      </c>
      <c r="C102" s="8">
        <v>16.007999999999999</v>
      </c>
      <c r="D102" s="7">
        <v>16.677</v>
      </c>
      <c r="E102" s="9">
        <f t="shared" si="2"/>
        <v>4.1399999999999997</v>
      </c>
    </row>
    <row r="103" spans="1:5">
      <c r="A103" s="6">
        <v>54</v>
      </c>
      <c r="B103" s="7">
        <v>14.78</v>
      </c>
      <c r="C103" s="8">
        <v>15.417</v>
      </c>
      <c r="D103" s="7">
        <v>16.068000000000001</v>
      </c>
      <c r="E103" s="9">
        <f t="shared" si="2"/>
        <v>4.18</v>
      </c>
    </row>
    <row r="104" spans="1:5">
      <c r="A104" s="6">
        <v>55</v>
      </c>
      <c r="B104" s="7">
        <v>14.231999999999999</v>
      </c>
      <c r="C104" s="8">
        <v>14.851000000000001</v>
      </c>
      <c r="D104" s="7">
        <v>15.484</v>
      </c>
      <c r="E104" s="9">
        <f t="shared" si="2"/>
        <v>4.22</v>
      </c>
    </row>
    <row r="105" spans="1:5">
      <c r="A105" s="6">
        <v>56</v>
      </c>
      <c r="B105" s="7">
        <v>13.707000000000001</v>
      </c>
      <c r="C105" s="8">
        <v>14.308999999999999</v>
      </c>
      <c r="D105" s="7">
        <v>14.923999999999999</v>
      </c>
      <c r="E105" s="9">
        <f t="shared" ref="E105:E136" si="3">ROUND((D105-B105)/C105/2*100,2)</f>
        <v>4.25</v>
      </c>
    </row>
    <row r="106" spans="1:5">
      <c r="A106" s="6">
        <v>57</v>
      </c>
      <c r="B106" s="7">
        <v>13.204000000000001</v>
      </c>
      <c r="C106" s="8">
        <v>13.789</v>
      </c>
      <c r="D106" s="7">
        <v>14.387</v>
      </c>
      <c r="E106" s="9">
        <f t="shared" si="3"/>
        <v>4.29</v>
      </c>
    </row>
    <row r="107" spans="1:5">
      <c r="A107" s="6">
        <v>58</v>
      </c>
      <c r="B107" s="7">
        <v>12.722</v>
      </c>
      <c r="C107" s="8">
        <v>13.291</v>
      </c>
      <c r="D107" s="7">
        <v>13.872</v>
      </c>
      <c r="E107" s="9">
        <f t="shared" si="3"/>
        <v>4.33</v>
      </c>
    </row>
    <row r="108" spans="1:5">
      <c r="A108" s="6">
        <v>59</v>
      </c>
      <c r="B108" s="7">
        <v>12.26</v>
      </c>
      <c r="C108" s="8">
        <v>12.813000000000001</v>
      </c>
      <c r="D108" s="7">
        <v>13.378</v>
      </c>
      <c r="E108" s="9">
        <f t="shared" si="3"/>
        <v>4.3600000000000003</v>
      </c>
    </row>
    <row r="109" spans="1:5">
      <c r="A109" s="6">
        <v>60</v>
      </c>
      <c r="B109" s="7">
        <v>11.818</v>
      </c>
      <c r="C109" s="8">
        <v>12.355</v>
      </c>
      <c r="D109" s="7">
        <v>12.904</v>
      </c>
      <c r="E109" s="9">
        <f t="shared" si="3"/>
        <v>4.3899999999999997</v>
      </c>
    </row>
    <row r="110" spans="1:5">
      <c r="A110" s="6">
        <v>61</v>
      </c>
      <c r="B110" s="7">
        <v>11.393000000000001</v>
      </c>
      <c r="C110" s="8">
        <v>11.914999999999999</v>
      </c>
      <c r="D110" s="7">
        <v>12.45</v>
      </c>
      <c r="E110" s="9">
        <f t="shared" si="3"/>
        <v>4.4400000000000004</v>
      </c>
    </row>
    <row r="111" spans="1:5">
      <c r="A111" s="6">
        <v>62</v>
      </c>
      <c r="B111" s="7">
        <v>10.986000000000001</v>
      </c>
      <c r="C111" s="8">
        <v>11.493</v>
      </c>
      <c r="D111" s="7">
        <v>12.013</v>
      </c>
      <c r="E111" s="9">
        <f t="shared" si="3"/>
        <v>4.47</v>
      </c>
    </row>
    <row r="112" spans="1:5">
      <c r="A112" s="6">
        <v>63</v>
      </c>
      <c r="B112" s="7">
        <v>10.595000000000001</v>
      </c>
      <c r="C112" s="8">
        <v>11.087999999999999</v>
      </c>
      <c r="D112" s="7">
        <v>11.593999999999999</v>
      </c>
      <c r="E112" s="9">
        <f t="shared" si="3"/>
        <v>4.5</v>
      </c>
    </row>
    <row r="113" spans="1:5">
      <c r="A113" s="6">
        <v>64</v>
      </c>
      <c r="B113" s="7">
        <v>10.220000000000001</v>
      </c>
      <c r="C113" s="8">
        <v>10.7</v>
      </c>
      <c r="D113" s="7">
        <v>11.192</v>
      </c>
      <c r="E113" s="9">
        <f t="shared" si="3"/>
        <v>4.54</v>
      </c>
    </row>
    <row r="114" spans="1:5">
      <c r="A114" s="6">
        <v>65</v>
      </c>
      <c r="B114" s="7">
        <v>9.86</v>
      </c>
      <c r="C114" s="8">
        <v>10.327</v>
      </c>
      <c r="D114" s="7">
        <v>10.805</v>
      </c>
      <c r="E114" s="9">
        <f t="shared" si="3"/>
        <v>4.58</v>
      </c>
    </row>
    <row r="115" spans="1:5">
      <c r="A115" s="6">
        <v>66</v>
      </c>
      <c r="B115" s="7">
        <v>9.5150000000000006</v>
      </c>
      <c r="C115" s="8">
        <v>9.968</v>
      </c>
      <c r="D115" s="7">
        <v>10.433999999999999</v>
      </c>
      <c r="E115" s="9">
        <f t="shared" si="3"/>
        <v>4.6100000000000003</v>
      </c>
    </row>
    <row r="116" spans="1:5">
      <c r="A116" s="6">
        <v>67</v>
      </c>
      <c r="B116" s="7">
        <v>9.1829999999999998</v>
      </c>
      <c r="C116" s="8">
        <v>9.6240000000000006</v>
      </c>
      <c r="D116" s="7">
        <v>10.077999999999999</v>
      </c>
      <c r="E116" s="9">
        <f t="shared" si="3"/>
        <v>4.6500000000000004</v>
      </c>
    </row>
    <row r="117" spans="1:5">
      <c r="A117" s="6">
        <v>68</v>
      </c>
      <c r="B117" s="7">
        <v>8.8650000000000002</v>
      </c>
      <c r="C117" s="8">
        <v>9.2940000000000005</v>
      </c>
      <c r="D117" s="7">
        <v>9.7349999999999994</v>
      </c>
      <c r="E117" s="9">
        <f t="shared" si="3"/>
        <v>4.68</v>
      </c>
    </row>
    <row r="118" spans="1:5">
      <c r="A118" s="6">
        <v>69</v>
      </c>
      <c r="B118" s="7">
        <v>8.5589999999999993</v>
      </c>
      <c r="C118" s="8">
        <v>8.9760000000000009</v>
      </c>
      <c r="D118" s="7">
        <v>9.4060000000000006</v>
      </c>
      <c r="E118" s="9">
        <f t="shared" si="3"/>
        <v>4.72</v>
      </c>
    </row>
    <row r="119" spans="1:5">
      <c r="A119" s="6">
        <v>70</v>
      </c>
      <c r="B119" s="7">
        <v>8.2650000000000006</v>
      </c>
      <c r="C119" s="8">
        <v>8.6709999999999994</v>
      </c>
      <c r="D119" s="7">
        <v>9.0890000000000004</v>
      </c>
      <c r="E119" s="9">
        <f t="shared" si="3"/>
        <v>4.75</v>
      </c>
    </row>
    <row r="120" spans="1:5">
      <c r="A120" s="6">
        <v>71</v>
      </c>
      <c r="B120" s="7">
        <v>7.9829999999999997</v>
      </c>
      <c r="C120" s="8">
        <v>8.3780000000000001</v>
      </c>
      <c r="D120" s="7">
        <v>8.7850000000000001</v>
      </c>
      <c r="E120" s="9">
        <f t="shared" si="3"/>
        <v>4.79</v>
      </c>
    </row>
    <row r="121" spans="1:5">
      <c r="A121" s="6">
        <v>72</v>
      </c>
      <c r="B121" s="7">
        <v>7.7110000000000003</v>
      </c>
      <c r="C121" s="8">
        <v>8.0960000000000001</v>
      </c>
      <c r="D121" s="7">
        <v>8.4920000000000009</v>
      </c>
      <c r="E121" s="9">
        <f t="shared" si="3"/>
        <v>4.82</v>
      </c>
    </row>
    <row r="122" spans="1:5">
      <c r="A122" s="6">
        <v>73</v>
      </c>
      <c r="B122" s="7">
        <v>7.45</v>
      </c>
      <c r="C122" s="8">
        <v>7.8250000000000002</v>
      </c>
      <c r="D122" s="7">
        <v>8.2100000000000009</v>
      </c>
      <c r="E122" s="9">
        <f t="shared" si="3"/>
        <v>4.8600000000000003</v>
      </c>
    </row>
    <row r="123" spans="1:5">
      <c r="A123" s="6">
        <v>74</v>
      </c>
      <c r="B123" s="7">
        <v>7.2</v>
      </c>
      <c r="C123" s="8">
        <v>7.5640000000000001</v>
      </c>
      <c r="D123" s="7">
        <v>7.9390000000000001</v>
      </c>
      <c r="E123" s="9">
        <f t="shared" si="3"/>
        <v>4.88</v>
      </c>
    </row>
    <row r="124" spans="1:5">
      <c r="A124" s="6">
        <v>75</v>
      </c>
      <c r="B124" s="7">
        <v>6.9589999999999996</v>
      </c>
      <c r="C124" s="8">
        <v>7.3129999999999997</v>
      </c>
      <c r="D124" s="7">
        <v>7.6790000000000003</v>
      </c>
      <c r="E124" s="9">
        <f t="shared" si="3"/>
        <v>4.92</v>
      </c>
    </row>
    <row r="125" spans="1:5">
      <c r="A125" s="6">
        <v>76</v>
      </c>
      <c r="B125" s="7">
        <v>6.7270000000000003</v>
      </c>
      <c r="C125" s="8">
        <v>7.0720000000000001</v>
      </c>
      <c r="D125" s="7">
        <v>7.4279999999999999</v>
      </c>
      <c r="E125" s="9">
        <f t="shared" si="3"/>
        <v>4.96</v>
      </c>
    </row>
    <row r="126" spans="1:5">
      <c r="A126" s="6">
        <v>77</v>
      </c>
      <c r="B126" s="7">
        <v>6.5039999999999996</v>
      </c>
      <c r="C126" s="8">
        <v>6.84</v>
      </c>
      <c r="D126" s="7">
        <v>7.1870000000000003</v>
      </c>
      <c r="E126" s="9">
        <f t="shared" si="3"/>
        <v>4.99</v>
      </c>
    </row>
    <row r="127" spans="1:5">
      <c r="A127" s="6">
        <v>78</v>
      </c>
      <c r="B127" s="7">
        <v>6.2889999999999997</v>
      </c>
      <c r="C127" s="8">
        <v>6.6159999999999997</v>
      </c>
      <c r="D127" s="7">
        <v>6.9539999999999997</v>
      </c>
      <c r="E127" s="9">
        <f t="shared" si="3"/>
        <v>5.03</v>
      </c>
    </row>
    <row r="128" spans="1:5">
      <c r="A128" s="6">
        <v>79</v>
      </c>
      <c r="B128" s="7">
        <v>6.0830000000000002</v>
      </c>
      <c r="C128" s="8">
        <v>6.4009999999999998</v>
      </c>
      <c r="D128" s="7">
        <v>6.73</v>
      </c>
      <c r="E128" s="9">
        <f t="shared" si="3"/>
        <v>5.05</v>
      </c>
    </row>
    <row r="129" spans="1:5">
      <c r="A129" s="6">
        <v>80</v>
      </c>
      <c r="B129" s="7">
        <v>5.8840000000000003</v>
      </c>
      <c r="C129" s="8">
        <v>6.194</v>
      </c>
      <c r="D129" s="7">
        <v>6.5149999999999997</v>
      </c>
      <c r="E129" s="9">
        <f t="shared" si="3"/>
        <v>5.09</v>
      </c>
    </row>
    <row r="130" spans="1:5">
      <c r="A130" s="6">
        <v>81</v>
      </c>
      <c r="B130" s="7">
        <v>5.6929999999999996</v>
      </c>
      <c r="C130" s="8">
        <v>5.9950000000000001</v>
      </c>
      <c r="D130" s="7">
        <v>6.3070000000000004</v>
      </c>
      <c r="E130" s="9">
        <f t="shared" si="3"/>
        <v>5.12</v>
      </c>
    </row>
    <row r="131" spans="1:5">
      <c r="A131" s="6">
        <v>82</v>
      </c>
      <c r="B131" s="7">
        <v>5.5090000000000003</v>
      </c>
      <c r="C131" s="8">
        <v>5.8029999999999999</v>
      </c>
      <c r="D131" s="7">
        <v>6.1070000000000002</v>
      </c>
      <c r="E131" s="9">
        <f t="shared" si="3"/>
        <v>5.15</v>
      </c>
    </row>
    <row r="132" spans="1:5">
      <c r="A132" s="6">
        <v>83</v>
      </c>
      <c r="B132" s="7">
        <v>5.3310000000000004</v>
      </c>
      <c r="C132" s="8">
        <v>5.6180000000000003</v>
      </c>
      <c r="D132" s="7">
        <v>5.9139999999999997</v>
      </c>
      <c r="E132" s="9">
        <f t="shared" si="3"/>
        <v>5.19</v>
      </c>
    </row>
    <row r="133" spans="1:5">
      <c r="A133" s="6">
        <v>84</v>
      </c>
      <c r="B133" s="7">
        <v>5.1609999999999996</v>
      </c>
      <c r="C133" s="8">
        <v>5.44</v>
      </c>
      <c r="D133" s="7">
        <v>5.7279999999999998</v>
      </c>
      <c r="E133" s="9">
        <f t="shared" si="3"/>
        <v>5.21</v>
      </c>
    </row>
    <row r="134" spans="1:5">
      <c r="A134" s="6">
        <v>85</v>
      </c>
      <c r="B134" s="7">
        <v>4.9960000000000004</v>
      </c>
      <c r="C134" s="8">
        <v>5.2679999999999998</v>
      </c>
      <c r="D134" s="7">
        <v>5.5490000000000004</v>
      </c>
      <c r="E134" s="9">
        <f t="shared" si="3"/>
        <v>5.25</v>
      </c>
    </row>
    <row r="135" spans="1:5">
      <c r="A135" s="6">
        <v>86</v>
      </c>
      <c r="B135" s="7">
        <v>4.8380000000000001</v>
      </c>
      <c r="C135" s="8">
        <v>5.1020000000000003</v>
      </c>
      <c r="D135" s="7">
        <v>5.3769999999999998</v>
      </c>
      <c r="E135" s="9">
        <f t="shared" si="3"/>
        <v>5.28</v>
      </c>
    </row>
    <row r="136" spans="1:5">
      <c r="A136" s="6">
        <v>87</v>
      </c>
      <c r="B136" s="7">
        <v>4.6849999999999996</v>
      </c>
      <c r="C136" s="8">
        <v>4.9429999999999996</v>
      </c>
      <c r="D136" s="7">
        <v>5.21</v>
      </c>
      <c r="E136" s="9">
        <f t="shared" si="3"/>
        <v>5.31</v>
      </c>
    </row>
    <row r="137" spans="1:5">
      <c r="A137" s="6">
        <v>88</v>
      </c>
      <c r="B137" s="7">
        <v>4.5380000000000003</v>
      </c>
      <c r="C137" s="8">
        <v>4.7889999999999997</v>
      </c>
      <c r="D137" s="7">
        <v>5.05</v>
      </c>
      <c r="E137" s="9">
        <f t="shared" ref="E137:E168" si="4">ROUND((D137-B137)/C137/2*100,2)</f>
        <v>5.35</v>
      </c>
    </row>
    <row r="138" spans="1:5">
      <c r="A138" s="6">
        <v>89</v>
      </c>
      <c r="B138" s="7">
        <v>4.3959999999999999</v>
      </c>
      <c r="C138" s="8">
        <v>4.641</v>
      </c>
      <c r="D138" s="7">
        <v>4.8949999999999996</v>
      </c>
      <c r="E138" s="9">
        <f t="shared" si="4"/>
        <v>5.38</v>
      </c>
    </row>
    <row r="139" spans="1:5">
      <c r="A139" s="6">
        <v>90</v>
      </c>
      <c r="B139" s="7">
        <v>4.2590000000000003</v>
      </c>
      <c r="C139" s="8">
        <v>4.4980000000000002</v>
      </c>
      <c r="D139" s="7">
        <v>4.7460000000000004</v>
      </c>
      <c r="E139" s="9">
        <f t="shared" si="4"/>
        <v>5.41</v>
      </c>
    </row>
    <row r="140" spans="1:5">
      <c r="A140" s="6">
        <v>91</v>
      </c>
      <c r="B140" s="7">
        <v>4.1269999999999998</v>
      </c>
      <c r="C140" s="8">
        <v>4.3600000000000003</v>
      </c>
      <c r="D140" s="7">
        <v>4.601</v>
      </c>
      <c r="E140" s="9">
        <f t="shared" si="4"/>
        <v>5.44</v>
      </c>
    </row>
    <row r="141" spans="1:5">
      <c r="A141" s="6">
        <v>92</v>
      </c>
      <c r="B141" s="7">
        <v>4</v>
      </c>
      <c r="C141" s="8">
        <v>4.2270000000000003</v>
      </c>
      <c r="D141" s="7">
        <v>4.4619999999999997</v>
      </c>
      <c r="E141" s="9">
        <f t="shared" si="4"/>
        <v>5.46</v>
      </c>
    </row>
    <row r="142" spans="1:5">
      <c r="A142" s="6">
        <v>93</v>
      </c>
      <c r="B142" s="7">
        <v>3.8769999999999998</v>
      </c>
      <c r="C142" s="8">
        <v>4.0979999999999999</v>
      </c>
      <c r="D142" s="7">
        <v>4.3280000000000003</v>
      </c>
      <c r="E142" s="9">
        <f t="shared" si="4"/>
        <v>5.5</v>
      </c>
    </row>
    <row r="143" spans="1:5">
      <c r="A143" s="6">
        <v>94</v>
      </c>
      <c r="B143" s="7">
        <v>3.7589999999999999</v>
      </c>
      <c r="C143" s="8">
        <v>3.9740000000000002</v>
      </c>
      <c r="D143" s="7">
        <v>4.1989999999999998</v>
      </c>
      <c r="E143" s="9">
        <f t="shared" si="4"/>
        <v>5.54</v>
      </c>
    </row>
    <row r="144" spans="1:5">
      <c r="A144" s="6">
        <v>95</v>
      </c>
      <c r="B144" s="7">
        <v>3.645</v>
      </c>
      <c r="C144" s="8">
        <v>3.855</v>
      </c>
      <c r="D144" s="7">
        <v>4.0739999999999998</v>
      </c>
      <c r="E144" s="9">
        <f t="shared" si="4"/>
        <v>5.56</v>
      </c>
    </row>
    <row r="145" spans="1:5">
      <c r="A145" s="6">
        <v>96</v>
      </c>
      <c r="B145" s="7">
        <v>3.5339999999999998</v>
      </c>
      <c r="C145" s="8">
        <v>3.7389999999999999</v>
      </c>
      <c r="D145" s="7">
        <v>3.9529999999999998</v>
      </c>
      <c r="E145" s="9">
        <f t="shared" si="4"/>
        <v>5.6</v>
      </c>
    </row>
    <row r="146" spans="1:5">
      <c r="A146" s="6">
        <v>97</v>
      </c>
      <c r="B146" s="7">
        <v>3.4279999999999999</v>
      </c>
      <c r="C146" s="8">
        <v>3.6280000000000001</v>
      </c>
      <c r="D146" s="7">
        <v>3.8359999999999999</v>
      </c>
      <c r="E146" s="9">
        <f t="shared" si="4"/>
        <v>5.62</v>
      </c>
    </row>
    <row r="147" spans="1:5">
      <c r="A147" s="6">
        <v>98</v>
      </c>
      <c r="B147" s="7">
        <v>3.3250000000000002</v>
      </c>
      <c r="C147" s="8">
        <v>3.52</v>
      </c>
      <c r="D147" s="7">
        <v>3.7229999999999999</v>
      </c>
      <c r="E147" s="9">
        <f t="shared" si="4"/>
        <v>5.65</v>
      </c>
    </row>
    <row r="148" spans="1:5">
      <c r="A148" s="6">
        <v>99</v>
      </c>
      <c r="B148" s="7">
        <v>3.226</v>
      </c>
      <c r="C148" s="8">
        <v>3.4159999999999999</v>
      </c>
      <c r="D148" s="7">
        <v>3.6139999999999999</v>
      </c>
      <c r="E148" s="9">
        <f t="shared" si="4"/>
        <v>5.68</v>
      </c>
    </row>
    <row r="149" spans="1:5">
      <c r="A149" s="6">
        <v>100</v>
      </c>
      <c r="B149" s="7">
        <v>3.13</v>
      </c>
      <c r="C149" s="8">
        <v>3.3159999999999998</v>
      </c>
      <c r="D149" s="7">
        <v>3.5089999999999999</v>
      </c>
      <c r="E149" s="9">
        <f t="shared" si="4"/>
        <v>5.71</v>
      </c>
    </row>
    <row r="150" spans="1:5">
      <c r="A150" s="6">
        <v>101</v>
      </c>
      <c r="B150" s="7">
        <v>3.0379999999999998</v>
      </c>
      <c r="C150" s="8">
        <v>3.2189999999999999</v>
      </c>
      <c r="D150" s="7">
        <v>3.407</v>
      </c>
      <c r="E150" s="9">
        <f t="shared" si="4"/>
        <v>5.73</v>
      </c>
    </row>
    <row r="151" spans="1:5">
      <c r="A151" s="6">
        <v>102</v>
      </c>
      <c r="B151" s="7">
        <v>2.948</v>
      </c>
      <c r="C151" s="8">
        <v>3.125</v>
      </c>
      <c r="D151" s="7">
        <v>3.3090000000000002</v>
      </c>
      <c r="E151" s="9">
        <f t="shared" si="4"/>
        <v>5.78</v>
      </c>
    </row>
    <row r="152" spans="1:5">
      <c r="A152" s="6">
        <v>103</v>
      </c>
      <c r="B152" s="7">
        <v>2.8620000000000001</v>
      </c>
      <c r="C152" s="8">
        <v>3.0339999999999998</v>
      </c>
      <c r="D152" s="7">
        <v>3.214</v>
      </c>
      <c r="E152" s="9">
        <f t="shared" si="4"/>
        <v>5.8</v>
      </c>
    </row>
    <row r="153" spans="1:5">
      <c r="A153" s="6">
        <v>104</v>
      </c>
      <c r="B153" s="7">
        <v>2.7789999999999999</v>
      </c>
      <c r="C153" s="8">
        <v>2.9470000000000001</v>
      </c>
      <c r="D153" s="7">
        <v>3.1219999999999999</v>
      </c>
      <c r="E153" s="9">
        <f t="shared" si="4"/>
        <v>5.82</v>
      </c>
    </row>
    <row r="154" spans="1:5">
      <c r="A154" s="6">
        <v>105</v>
      </c>
      <c r="B154" s="7">
        <v>2.698</v>
      </c>
      <c r="C154" s="8">
        <v>2.8620000000000001</v>
      </c>
      <c r="D154" s="7">
        <v>3.0329999999999999</v>
      </c>
      <c r="E154" s="9">
        <f t="shared" si="4"/>
        <v>5.85</v>
      </c>
    </row>
    <row r="155" spans="1:5">
      <c r="A155" s="6">
        <v>106</v>
      </c>
      <c r="B155" s="7">
        <v>2.62</v>
      </c>
      <c r="C155" s="8">
        <v>2.78</v>
      </c>
      <c r="D155" s="7">
        <v>2.9470000000000001</v>
      </c>
      <c r="E155" s="9">
        <f t="shared" si="4"/>
        <v>5.88</v>
      </c>
    </row>
    <row r="156" spans="1:5">
      <c r="A156" s="6">
        <v>107</v>
      </c>
      <c r="B156" s="7">
        <v>2.5449999999999999</v>
      </c>
      <c r="C156" s="8">
        <v>2.7010000000000001</v>
      </c>
      <c r="D156" s="7">
        <v>2.8639999999999999</v>
      </c>
      <c r="E156" s="9">
        <f t="shared" si="4"/>
        <v>5.91</v>
      </c>
    </row>
    <row r="157" spans="1:5">
      <c r="A157" s="6">
        <v>108</v>
      </c>
      <c r="B157" s="7">
        <v>2.472</v>
      </c>
      <c r="C157" s="8">
        <v>2.6240000000000001</v>
      </c>
      <c r="D157" s="7">
        <v>2.7839999999999998</v>
      </c>
      <c r="E157" s="9">
        <f t="shared" si="4"/>
        <v>5.95</v>
      </c>
    </row>
    <row r="158" spans="1:5">
      <c r="A158" s="6">
        <v>109</v>
      </c>
      <c r="B158" s="7">
        <v>2.4009999999999998</v>
      </c>
      <c r="C158" s="8">
        <v>2.5499999999999998</v>
      </c>
      <c r="D158" s="7">
        <v>2.706</v>
      </c>
      <c r="E158" s="9">
        <f t="shared" si="4"/>
        <v>5.98</v>
      </c>
    </row>
    <row r="159" spans="1:5">
      <c r="A159" s="6">
        <v>110</v>
      </c>
      <c r="B159" s="7">
        <v>2.3330000000000002</v>
      </c>
      <c r="C159" s="8">
        <v>2.4790000000000001</v>
      </c>
      <c r="D159" s="7">
        <v>2.6309999999999998</v>
      </c>
      <c r="E159" s="9">
        <f t="shared" si="4"/>
        <v>6.01</v>
      </c>
    </row>
    <row r="160" spans="1:5">
      <c r="A160" s="6">
        <v>111</v>
      </c>
      <c r="B160" s="7">
        <v>2.2669999999999999</v>
      </c>
      <c r="C160" s="8">
        <v>2.4089999999999998</v>
      </c>
      <c r="D160" s="7">
        <v>2.5579999999999998</v>
      </c>
      <c r="E160" s="9">
        <f t="shared" si="4"/>
        <v>6.04</v>
      </c>
    </row>
    <row r="161" spans="1:5">
      <c r="A161" s="6">
        <v>112</v>
      </c>
      <c r="B161" s="7">
        <v>2.2040000000000002</v>
      </c>
      <c r="C161" s="8">
        <v>2.3420000000000001</v>
      </c>
      <c r="D161" s="7">
        <v>2.488</v>
      </c>
      <c r="E161" s="9">
        <f t="shared" si="4"/>
        <v>6.06</v>
      </c>
    </row>
    <row r="162" spans="1:5">
      <c r="A162" s="6">
        <v>113</v>
      </c>
      <c r="B162" s="7">
        <v>2.1419999999999999</v>
      </c>
      <c r="C162" s="8">
        <v>2.2770000000000001</v>
      </c>
      <c r="D162" s="7">
        <v>2.419</v>
      </c>
      <c r="E162" s="9">
        <f t="shared" si="4"/>
        <v>6.08</v>
      </c>
    </row>
    <row r="163" spans="1:5">
      <c r="A163" s="6">
        <v>114</v>
      </c>
      <c r="B163" s="7">
        <v>2.0819999999999999</v>
      </c>
      <c r="C163" s="8">
        <v>2.2149999999999999</v>
      </c>
      <c r="D163" s="7">
        <v>2.3530000000000002</v>
      </c>
      <c r="E163" s="9">
        <f t="shared" si="4"/>
        <v>6.12</v>
      </c>
    </row>
    <row r="164" spans="1:5">
      <c r="A164" s="6">
        <v>115</v>
      </c>
      <c r="B164" s="7">
        <v>2.024</v>
      </c>
      <c r="C164" s="8">
        <v>2.1539999999999999</v>
      </c>
      <c r="D164" s="7">
        <v>2.2890000000000001</v>
      </c>
      <c r="E164" s="9">
        <f t="shared" si="4"/>
        <v>6.15</v>
      </c>
    </row>
    <row r="165" spans="1:5">
      <c r="A165" s="6">
        <v>116</v>
      </c>
      <c r="B165" s="7">
        <v>1.9690000000000001</v>
      </c>
      <c r="C165" s="8">
        <v>2.0950000000000002</v>
      </c>
      <c r="D165" s="7">
        <v>2.2269999999999999</v>
      </c>
      <c r="E165" s="9">
        <f t="shared" si="4"/>
        <v>6.16</v>
      </c>
    </row>
    <row r="166" spans="1:5">
      <c r="A166" s="6">
        <v>117</v>
      </c>
      <c r="B166" s="7">
        <v>1.9139999999999999</v>
      </c>
      <c r="C166" s="8">
        <v>2.0379999999999998</v>
      </c>
      <c r="D166" s="7">
        <v>2.1669999999999998</v>
      </c>
      <c r="E166" s="9">
        <f t="shared" si="4"/>
        <v>6.21</v>
      </c>
    </row>
    <row r="167" spans="1:5">
      <c r="A167" s="6">
        <v>118</v>
      </c>
      <c r="B167" s="7">
        <v>1.8620000000000001</v>
      </c>
      <c r="C167" s="8">
        <v>1.9830000000000001</v>
      </c>
      <c r="D167" s="7">
        <v>2.109</v>
      </c>
      <c r="E167" s="9">
        <f t="shared" si="4"/>
        <v>6.23</v>
      </c>
    </row>
    <row r="168" spans="1:5">
      <c r="A168" s="6">
        <v>119</v>
      </c>
      <c r="B168" s="7">
        <v>1.8109999999999999</v>
      </c>
      <c r="C168" s="8">
        <v>1.929</v>
      </c>
      <c r="D168" s="7">
        <v>2.0529999999999999</v>
      </c>
      <c r="E168" s="9">
        <f t="shared" si="4"/>
        <v>6.27</v>
      </c>
    </row>
    <row r="169" spans="1:5">
      <c r="A169" s="6">
        <v>120</v>
      </c>
      <c r="B169" s="7">
        <v>1.762</v>
      </c>
      <c r="C169" s="8">
        <v>1.877</v>
      </c>
      <c r="D169" s="7">
        <v>1.998</v>
      </c>
      <c r="E169" s="9">
        <f t="shared" ref="E169:E200" si="5">ROUND((D169-B169)/C169/2*100,2)</f>
        <v>6.29</v>
      </c>
    </row>
    <row r="170" spans="1:5">
      <c r="A170" s="6">
        <v>121</v>
      </c>
      <c r="B170" s="7">
        <v>1.714</v>
      </c>
      <c r="C170" s="8">
        <v>1.827</v>
      </c>
      <c r="D170" s="7">
        <v>1.9450000000000001</v>
      </c>
      <c r="E170" s="9">
        <f t="shared" si="5"/>
        <v>6.32</v>
      </c>
    </row>
    <row r="171" spans="1:5">
      <c r="A171" s="6">
        <v>122</v>
      </c>
      <c r="B171" s="7">
        <v>1.6679999999999999</v>
      </c>
      <c r="C171" s="8">
        <v>1.778</v>
      </c>
      <c r="D171" s="7">
        <v>1.8939999999999999</v>
      </c>
      <c r="E171" s="9">
        <f t="shared" si="5"/>
        <v>6.36</v>
      </c>
    </row>
    <row r="172" spans="1:5">
      <c r="A172" s="6">
        <v>123</v>
      </c>
      <c r="B172" s="7">
        <v>1.6240000000000001</v>
      </c>
      <c r="C172" s="8">
        <v>1.7310000000000001</v>
      </c>
      <c r="D172" s="7">
        <v>1.8440000000000001</v>
      </c>
      <c r="E172" s="9">
        <f t="shared" si="5"/>
        <v>6.35</v>
      </c>
    </row>
    <row r="173" spans="1:5">
      <c r="A173" s="6">
        <v>124</v>
      </c>
      <c r="B173" s="7">
        <v>1.58</v>
      </c>
      <c r="C173" s="8">
        <v>1.6850000000000001</v>
      </c>
      <c r="D173" s="7">
        <v>1.796</v>
      </c>
      <c r="E173" s="9">
        <f t="shared" si="5"/>
        <v>6.41</v>
      </c>
    </row>
    <row r="174" spans="1:5">
      <c r="A174" s="6">
        <v>125</v>
      </c>
      <c r="B174" s="7">
        <v>1.538</v>
      </c>
      <c r="C174" s="8">
        <v>1.641</v>
      </c>
      <c r="D174" s="7">
        <v>1.7490000000000001</v>
      </c>
      <c r="E174" s="9">
        <f t="shared" si="5"/>
        <v>6.43</v>
      </c>
    </row>
    <row r="175" spans="1:5">
      <c r="A175" s="6">
        <v>126</v>
      </c>
      <c r="B175" s="7">
        <v>1.498</v>
      </c>
      <c r="C175" s="8">
        <v>1.5980000000000001</v>
      </c>
      <c r="D175" s="7">
        <v>1.704</v>
      </c>
      <c r="E175" s="9">
        <f t="shared" si="5"/>
        <v>6.45</v>
      </c>
    </row>
    <row r="176" spans="1:5">
      <c r="A176" s="6">
        <v>127</v>
      </c>
      <c r="B176" s="7">
        <v>1.458</v>
      </c>
      <c r="C176" s="8">
        <v>1.556</v>
      </c>
      <c r="D176" s="7">
        <v>1.66</v>
      </c>
      <c r="E176" s="9">
        <f t="shared" si="5"/>
        <v>6.49</v>
      </c>
    </row>
    <row r="177" spans="1:5">
      <c r="A177" s="6">
        <v>128</v>
      </c>
      <c r="B177" s="7">
        <v>1.42</v>
      </c>
      <c r="C177" s="8">
        <v>1.516</v>
      </c>
      <c r="D177" s="7">
        <v>1.617</v>
      </c>
      <c r="E177" s="9">
        <f t="shared" si="5"/>
        <v>6.5</v>
      </c>
    </row>
    <row r="178" spans="1:5">
      <c r="A178" s="6">
        <v>129</v>
      </c>
      <c r="B178" s="7">
        <v>1.383</v>
      </c>
      <c r="C178" s="8">
        <v>1.4770000000000001</v>
      </c>
      <c r="D178" s="7">
        <v>1.5760000000000001</v>
      </c>
      <c r="E178" s="9">
        <f t="shared" si="5"/>
        <v>6.53</v>
      </c>
    </row>
    <row r="179" spans="1:5">
      <c r="A179" s="6">
        <v>130</v>
      </c>
      <c r="B179" s="7">
        <v>1.347</v>
      </c>
      <c r="C179" s="8">
        <v>1.4390000000000001</v>
      </c>
      <c r="D179" s="7">
        <v>1.5349999999999999</v>
      </c>
      <c r="E179" s="9">
        <f t="shared" si="5"/>
        <v>6.53</v>
      </c>
    </row>
    <row r="180" spans="1:5">
      <c r="A180" s="6">
        <v>131</v>
      </c>
      <c r="B180" s="7">
        <v>1.3120000000000001</v>
      </c>
      <c r="C180" s="8">
        <v>1.4019999999999999</v>
      </c>
      <c r="D180" s="7">
        <v>1.496</v>
      </c>
      <c r="E180" s="9">
        <f t="shared" si="5"/>
        <v>6.56</v>
      </c>
    </row>
    <row r="181" spans="1:5">
      <c r="A181" s="6">
        <v>132</v>
      </c>
      <c r="B181" s="7">
        <v>1.278</v>
      </c>
      <c r="C181" s="8">
        <v>1.3660000000000001</v>
      </c>
      <c r="D181" s="7">
        <v>1.4590000000000001</v>
      </c>
      <c r="E181" s="9">
        <f t="shared" si="5"/>
        <v>6.63</v>
      </c>
    </row>
    <row r="182" spans="1:5">
      <c r="A182" s="6">
        <v>133</v>
      </c>
      <c r="B182" s="7">
        <v>1.2450000000000001</v>
      </c>
      <c r="C182" s="8">
        <v>1.331</v>
      </c>
      <c r="D182" s="7">
        <v>1.4219999999999999</v>
      </c>
      <c r="E182" s="9">
        <f t="shared" si="5"/>
        <v>6.65</v>
      </c>
    </row>
    <row r="183" spans="1:5">
      <c r="A183" s="6">
        <v>134</v>
      </c>
      <c r="B183" s="7">
        <v>1.214</v>
      </c>
      <c r="C183" s="8">
        <v>1.298</v>
      </c>
      <c r="D183" s="7">
        <v>1.3859999999999999</v>
      </c>
      <c r="E183" s="9">
        <f t="shared" si="5"/>
        <v>6.63</v>
      </c>
    </row>
    <row r="184" spans="1:5">
      <c r="A184" s="6">
        <v>135</v>
      </c>
      <c r="B184" s="7">
        <v>1.1830000000000001</v>
      </c>
      <c r="C184" s="8">
        <v>1.2649999999999999</v>
      </c>
      <c r="D184" s="7">
        <v>1.3520000000000001</v>
      </c>
      <c r="E184" s="9">
        <f t="shared" si="5"/>
        <v>6.68</v>
      </c>
    </row>
    <row r="185" spans="1:5">
      <c r="A185" s="6">
        <v>136</v>
      </c>
      <c r="B185" s="7">
        <v>1.153</v>
      </c>
      <c r="C185" s="8">
        <v>1.2330000000000001</v>
      </c>
      <c r="D185" s="7">
        <v>1.3180000000000001</v>
      </c>
      <c r="E185" s="9">
        <f t="shared" si="5"/>
        <v>6.69</v>
      </c>
    </row>
    <row r="186" spans="1:5">
      <c r="A186" s="6">
        <v>137</v>
      </c>
      <c r="B186" s="7">
        <v>1.1240000000000001</v>
      </c>
      <c r="C186" s="8">
        <v>1.202</v>
      </c>
      <c r="D186" s="7">
        <v>1.2849999999999999</v>
      </c>
      <c r="E186" s="9">
        <f t="shared" si="5"/>
        <v>6.7</v>
      </c>
    </row>
    <row r="187" spans="1:5">
      <c r="A187" s="6">
        <v>138</v>
      </c>
      <c r="B187" s="7">
        <v>1.095</v>
      </c>
      <c r="C187" s="8">
        <v>1.1719999999999999</v>
      </c>
      <c r="D187" s="7">
        <v>1.254</v>
      </c>
      <c r="E187" s="9">
        <f t="shared" si="5"/>
        <v>6.78</v>
      </c>
    </row>
    <row r="188" spans="1:5">
      <c r="A188" s="6">
        <v>139</v>
      </c>
      <c r="B188" s="7">
        <v>1.0680000000000001</v>
      </c>
      <c r="C188" s="8">
        <v>1.143</v>
      </c>
      <c r="D188" s="7">
        <v>1.2230000000000001</v>
      </c>
      <c r="E188" s="9">
        <f t="shared" si="5"/>
        <v>6.78</v>
      </c>
    </row>
    <row r="189" spans="1:5">
      <c r="A189" s="6">
        <v>140</v>
      </c>
      <c r="B189" s="7">
        <v>1.0409999999999999</v>
      </c>
      <c r="C189" s="8">
        <v>1.115</v>
      </c>
      <c r="D189" s="7">
        <v>1.1930000000000001</v>
      </c>
      <c r="E189" s="9">
        <f t="shared" si="5"/>
        <v>6.82</v>
      </c>
    </row>
    <row r="190" spans="1:5">
      <c r="A190" s="6">
        <v>141</v>
      </c>
      <c r="B190" s="7">
        <v>1.0149999999999999</v>
      </c>
      <c r="C190" s="8">
        <v>1.0880000000000001</v>
      </c>
      <c r="D190" s="7">
        <v>1.1639999999999999</v>
      </c>
      <c r="E190" s="9">
        <f t="shared" si="5"/>
        <v>6.85</v>
      </c>
    </row>
    <row r="191" spans="1:5">
      <c r="A191" s="6">
        <v>142</v>
      </c>
      <c r="B191" s="7">
        <v>0.99</v>
      </c>
      <c r="C191" s="8">
        <v>1.0609999999999999</v>
      </c>
      <c r="D191" s="7">
        <v>1.1359999999999999</v>
      </c>
      <c r="E191" s="9">
        <f t="shared" si="5"/>
        <v>6.88</v>
      </c>
    </row>
    <row r="192" spans="1:5">
      <c r="A192" s="6">
        <v>143</v>
      </c>
      <c r="B192" s="7">
        <v>0.96599999999999997</v>
      </c>
      <c r="C192" s="8">
        <v>1.0349999999999999</v>
      </c>
      <c r="D192" s="7">
        <v>1.1080000000000001</v>
      </c>
      <c r="E192" s="9">
        <f t="shared" si="5"/>
        <v>6.86</v>
      </c>
    </row>
    <row r="193" spans="1:5">
      <c r="A193" s="6">
        <v>144</v>
      </c>
      <c r="B193" s="7">
        <v>0.94199999999999995</v>
      </c>
      <c r="C193" s="8">
        <v>1.01</v>
      </c>
      <c r="D193" s="7">
        <v>1.0820000000000001</v>
      </c>
      <c r="E193" s="9">
        <f t="shared" si="5"/>
        <v>6.93</v>
      </c>
    </row>
    <row r="194" spans="1:5">
      <c r="A194" s="6">
        <v>145</v>
      </c>
      <c r="B194" s="7">
        <v>0.91900000000000004</v>
      </c>
      <c r="C194" s="8">
        <v>0.98499999999999999</v>
      </c>
      <c r="D194" s="7">
        <v>1.056</v>
      </c>
      <c r="E194" s="9">
        <f t="shared" si="5"/>
        <v>6.95</v>
      </c>
    </row>
    <row r="195" spans="1:5">
      <c r="A195" s="6">
        <v>146</v>
      </c>
      <c r="B195" s="7">
        <v>0.89700000000000002</v>
      </c>
      <c r="C195" s="8">
        <v>0.96199999999999997</v>
      </c>
      <c r="D195" s="7">
        <v>1.03</v>
      </c>
      <c r="E195" s="9">
        <f t="shared" si="5"/>
        <v>6.91</v>
      </c>
    </row>
    <row r="196" spans="1:5">
      <c r="A196" s="6">
        <v>147</v>
      </c>
      <c r="B196" s="7">
        <v>0.875</v>
      </c>
      <c r="C196" s="8">
        <v>0.93899999999999995</v>
      </c>
      <c r="D196" s="7">
        <v>1.006</v>
      </c>
      <c r="E196" s="9">
        <f t="shared" si="5"/>
        <v>6.98</v>
      </c>
    </row>
    <row r="197" spans="1:5">
      <c r="A197" s="6">
        <v>148</v>
      </c>
      <c r="B197" s="7">
        <v>0.85399999999999998</v>
      </c>
      <c r="C197" s="8">
        <v>0.91600000000000004</v>
      </c>
      <c r="D197" s="7">
        <v>0.98199999999999998</v>
      </c>
      <c r="E197" s="9">
        <f t="shared" si="5"/>
        <v>6.99</v>
      </c>
    </row>
    <row r="198" spans="1:5">
      <c r="A198" s="6">
        <v>149</v>
      </c>
      <c r="B198" s="7">
        <v>0.83299999999999996</v>
      </c>
      <c r="C198" s="8">
        <v>0.89400000000000002</v>
      </c>
      <c r="D198" s="7">
        <v>0.95899999999999996</v>
      </c>
      <c r="E198" s="9">
        <f t="shared" si="5"/>
        <v>7.05</v>
      </c>
    </row>
    <row r="199" spans="1:5">
      <c r="A199" s="6">
        <v>150</v>
      </c>
      <c r="B199" s="7">
        <v>0.81299999999999994</v>
      </c>
      <c r="C199" s="8">
        <v>0.873</v>
      </c>
      <c r="D199" s="7">
        <v>0.93600000000000005</v>
      </c>
      <c r="E199" s="9">
        <f t="shared" si="5"/>
        <v>7.04</v>
      </c>
    </row>
  </sheetData>
  <mergeCells count="6">
    <mergeCell ref="B6:E6"/>
    <mergeCell ref="A1:E1"/>
    <mergeCell ref="B2:E2"/>
    <mergeCell ref="B3:E3"/>
    <mergeCell ref="B4:E4"/>
    <mergeCell ref="B5:E5"/>
  </mergeCells>
  <phoneticPr fontId="1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8"/>
  <sheetViews>
    <sheetView zoomScaleNormal="100" workbookViewId="0">
      <pane ySplit="7" topLeftCell="A119" activePane="bottomLeft" state="frozen"/>
      <selection pane="bottomLeft" activeCell="B3" sqref="B3"/>
    </sheetView>
  </sheetViews>
  <sheetFormatPr defaultColWidth="8.6328125" defaultRowHeight="14.5"/>
  <cols>
    <col min="1" max="1" width="15.7265625" customWidth="1"/>
    <col min="2" max="2" width="21.54296875" customWidth="1"/>
    <col min="3" max="5" width="12" customWidth="1"/>
    <col min="6" max="6" width="22" customWidth="1"/>
  </cols>
  <sheetData>
    <row r="1" spans="1:6" ht="24" customHeight="1">
      <c r="A1" s="3" t="s">
        <v>16</v>
      </c>
      <c r="B1" s="3"/>
      <c r="C1" s="3"/>
      <c r="D1" s="3"/>
      <c r="E1" s="3"/>
      <c r="F1" s="3"/>
    </row>
    <row r="2" spans="1:6">
      <c r="A2" s="4" t="s">
        <v>17</v>
      </c>
      <c r="B2" s="14">
        <v>2.2999999999999998</v>
      </c>
    </row>
    <row r="3" spans="1:6">
      <c r="A3" s="4" t="s">
        <v>18</v>
      </c>
      <c r="B3" s="14">
        <v>15</v>
      </c>
    </row>
    <row r="4" spans="1:6">
      <c r="A4" s="4" t="s">
        <v>19</v>
      </c>
      <c r="B4" s="14">
        <v>10</v>
      </c>
    </row>
    <row r="5" spans="1:6">
      <c r="A5" s="15" t="s">
        <v>20</v>
      </c>
      <c r="B5" s="1" t="s">
        <v>21</v>
      </c>
      <c r="C5" s="1"/>
      <c r="D5" s="1"/>
      <c r="E5" s="1"/>
      <c r="F5" s="1"/>
    </row>
    <row r="7" spans="1:6" ht="21.75" customHeight="1">
      <c r="A7" s="5" t="s">
        <v>11</v>
      </c>
      <c r="B7" s="5" t="s">
        <v>13</v>
      </c>
      <c r="C7" s="5" t="s">
        <v>22</v>
      </c>
      <c r="D7" s="5" t="s">
        <v>23</v>
      </c>
      <c r="E7" s="5" t="s">
        <v>24</v>
      </c>
      <c r="F7" s="16" t="s">
        <v>25</v>
      </c>
    </row>
    <row r="8" spans="1:6">
      <c r="A8" s="17">
        <f>'R-T Table'!A9</f>
        <v>-40</v>
      </c>
      <c r="B8" s="18">
        <f>'R-T Table'!C9</f>
        <v>1675.991</v>
      </c>
      <c r="C8" s="7">
        <f t="shared" ref="C8:C39" si="0">$B$2*B8/($B$3+B8)</f>
        <v>2.2795977624954831</v>
      </c>
      <c r="D8" s="19">
        <f t="shared" ref="D8:D39" si="1">C8/$B$2</f>
        <v>0.99112946195455798</v>
      </c>
      <c r="E8" s="20">
        <f t="shared" ref="E8:E39" si="2">ROUND(D8*(2^$B$4-1),0)</f>
        <v>1014</v>
      </c>
      <c r="F8" s="21" t="s">
        <v>26</v>
      </c>
    </row>
    <row r="9" spans="1:6">
      <c r="A9" s="17">
        <f>'R-T Table'!A10</f>
        <v>-39</v>
      </c>
      <c r="B9" s="18">
        <f>'R-T Table'!C10</f>
        <v>1566.079</v>
      </c>
      <c r="C9" s="7">
        <f t="shared" si="0"/>
        <v>2.2781794584584323</v>
      </c>
      <c r="D9" s="19">
        <f t="shared" si="1"/>
        <v>0.99051280802540542</v>
      </c>
      <c r="E9" s="20">
        <f t="shared" si="2"/>
        <v>1013</v>
      </c>
      <c r="F9" s="6"/>
    </row>
    <row r="10" spans="1:6">
      <c r="A10" s="17">
        <f>'R-T Table'!A11</f>
        <v>-38</v>
      </c>
      <c r="B10" s="18">
        <f>'R-T Table'!C11</f>
        <v>1464.8119999999999</v>
      </c>
      <c r="C10" s="7">
        <f t="shared" si="0"/>
        <v>2.2766862277100062</v>
      </c>
      <c r="D10" s="19">
        <f t="shared" si="1"/>
        <v>0.98986357726522012</v>
      </c>
      <c r="E10" s="20">
        <f t="shared" si="2"/>
        <v>1013</v>
      </c>
      <c r="F10" s="6"/>
    </row>
    <row r="11" spans="1:6">
      <c r="A11" s="17">
        <f>'R-T Table'!A12</f>
        <v>-37</v>
      </c>
      <c r="B11" s="18">
        <f>'R-T Table'!C12</f>
        <v>1371.336</v>
      </c>
      <c r="C11" s="7">
        <f t="shared" si="0"/>
        <v>2.2751142580153729</v>
      </c>
      <c r="D11" s="19">
        <f t="shared" si="1"/>
        <v>0.98918011218059698</v>
      </c>
      <c r="E11" s="20">
        <f t="shared" si="2"/>
        <v>1012</v>
      </c>
      <c r="F11" s="6"/>
    </row>
    <row r="12" spans="1:6">
      <c r="A12" s="17">
        <f>'R-T Table'!A13</f>
        <v>-36</v>
      </c>
      <c r="B12" s="18">
        <f>'R-T Table'!C13</f>
        <v>1284.8989999999999</v>
      </c>
      <c r="C12" s="7">
        <f t="shared" si="0"/>
        <v>2.2734594764670177</v>
      </c>
      <c r="D12" s="19">
        <f t="shared" si="1"/>
        <v>0.98846064194218175</v>
      </c>
      <c r="E12" s="20">
        <f t="shared" si="2"/>
        <v>1011</v>
      </c>
      <c r="F12" s="6"/>
    </row>
    <row r="13" spans="1:6">
      <c r="A13" s="17">
        <f>'R-T Table'!A14</f>
        <v>-35</v>
      </c>
      <c r="B13" s="18">
        <f>'R-T Table'!C14</f>
        <v>1204.8440000000001</v>
      </c>
      <c r="C13" s="7">
        <f t="shared" si="0"/>
        <v>2.271717695049531</v>
      </c>
      <c r="D13" s="19">
        <f t="shared" si="1"/>
        <v>0.98770334567370921</v>
      </c>
      <c r="E13" s="20">
        <f t="shared" si="2"/>
        <v>1010</v>
      </c>
      <c r="F13" s="6"/>
    </row>
    <row r="14" spans="1:6">
      <c r="A14" s="17">
        <f>'R-T Table'!A15</f>
        <v>-34</v>
      </c>
      <c r="B14" s="18">
        <f>'R-T Table'!C15</f>
        <v>1130.5820000000001</v>
      </c>
      <c r="C14" s="7">
        <f t="shared" si="0"/>
        <v>2.269884303349738</v>
      </c>
      <c r="D14" s="19">
        <f t="shared" si="1"/>
        <v>0.98690621884771224</v>
      </c>
      <c r="E14" s="20">
        <f t="shared" si="2"/>
        <v>1010</v>
      </c>
      <c r="F14" s="6"/>
    </row>
    <row r="15" spans="1:6">
      <c r="A15" s="17">
        <f>'R-T Table'!A16</f>
        <v>-33</v>
      </c>
      <c r="B15" s="18">
        <f>'R-T Table'!C16</f>
        <v>1061.5989999999999</v>
      </c>
      <c r="C15" s="7">
        <f t="shared" si="0"/>
        <v>2.2679546423505874</v>
      </c>
      <c r="D15" s="19">
        <f t="shared" si="1"/>
        <v>0.98606723580460331</v>
      </c>
      <c r="E15" s="20">
        <f t="shared" si="2"/>
        <v>1009</v>
      </c>
      <c r="F15" s="6"/>
    </row>
    <row r="16" spans="1:6">
      <c r="A16" s="17">
        <f>'R-T Table'!A17</f>
        <v>-32</v>
      </c>
      <c r="B16" s="18">
        <f>'R-T Table'!C17</f>
        <v>997.43499999999995</v>
      </c>
      <c r="C16" s="7">
        <f t="shared" si="0"/>
        <v>2.2659237383140645</v>
      </c>
      <c r="D16" s="19">
        <f t="shared" si="1"/>
        <v>0.98518423404959332</v>
      </c>
      <c r="E16" s="20">
        <f t="shared" si="2"/>
        <v>1008</v>
      </c>
      <c r="F16" s="6"/>
    </row>
    <row r="17" spans="1:6">
      <c r="A17" s="17">
        <f>'R-T Table'!A18</f>
        <v>-31</v>
      </c>
      <c r="B17" s="18">
        <f>'R-T Table'!C18</f>
        <v>937.67899999999997</v>
      </c>
      <c r="C17" s="7">
        <f t="shared" si="0"/>
        <v>2.2637863330670664</v>
      </c>
      <c r="D17" s="19">
        <f t="shared" si="1"/>
        <v>0.98425492742046372</v>
      </c>
      <c r="E17" s="20">
        <f t="shared" si="2"/>
        <v>1007</v>
      </c>
      <c r="F17" s="6"/>
    </row>
    <row r="18" spans="1:6">
      <c r="A18" s="17">
        <f>'R-T Table'!A19</f>
        <v>-30</v>
      </c>
      <c r="B18" s="18">
        <f>'R-T Table'!C19</f>
        <v>881.96600000000001</v>
      </c>
      <c r="C18" s="7">
        <f t="shared" si="0"/>
        <v>2.2615370036322444</v>
      </c>
      <c r="D18" s="19">
        <f t="shared" si="1"/>
        <v>0.98327695810097593</v>
      </c>
      <c r="E18" s="20">
        <f t="shared" si="2"/>
        <v>1006</v>
      </c>
      <c r="F18" s="6"/>
    </row>
    <row r="19" spans="1:6">
      <c r="A19" s="17">
        <f>'R-T Table'!A20</f>
        <v>-29</v>
      </c>
      <c r="B19" s="18">
        <f>'R-T Table'!C20</f>
        <v>829.96799999999996</v>
      </c>
      <c r="C19" s="7">
        <f t="shared" si="0"/>
        <v>2.2591700514102309</v>
      </c>
      <c r="D19" s="19">
        <f t="shared" si="1"/>
        <v>0.98224784843923085</v>
      </c>
      <c r="E19" s="20">
        <f t="shared" si="2"/>
        <v>1005</v>
      </c>
      <c r="F19" s="6"/>
    </row>
    <row r="20" spans="1:6">
      <c r="A20" s="17">
        <f>'R-T Table'!A21</f>
        <v>-28</v>
      </c>
      <c r="B20" s="18">
        <f>'R-T Table'!C21</f>
        <v>781.38900000000001</v>
      </c>
      <c r="C20" s="7">
        <f t="shared" si="0"/>
        <v>2.2566794619212467</v>
      </c>
      <c r="D20" s="19">
        <f t="shared" si="1"/>
        <v>0.98116498344402037</v>
      </c>
      <c r="E20" s="20">
        <f t="shared" si="2"/>
        <v>1004</v>
      </c>
      <c r="F20" s="6"/>
    </row>
    <row r="21" spans="1:6">
      <c r="A21" s="17">
        <f>'R-T Table'!A22</f>
        <v>-27</v>
      </c>
      <c r="B21" s="18">
        <f>'R-T Table'!C22</f>
        <v>735.96500000000003</v>
      </c>
      <c r="C21" s="7">
        <f t="shared" si="0"/>
        <v>2.2540591106110135</v>
      </c>
      <c r="D21" s="19">
        <f t="shared" si="1"/>
        <v>0.98002570026565816</v>
      </c>
      <c r="E21" s="20">
        <f t="shared" si="2"/>
        <v>1003</v>
      </c>
      <c r="F21" s="6"/>
    </row>
    <row r="22" spans="1:6">
      <c r="A22" s="17">
        <f>'R-T Table'!A23</f>
        <v>-26</v>
      </c>
      <c r="B22" s="18">
        <f>'R-T Table'!C23</f>
        <v>693.45500000000004</v>
      </c>
      <c r="C22" s="7">
        <f t="shared" si="0"/>
        <v>2.2513024821618872</v>
      </c>
      <c r="D22" s="19">
        <f t="shared" si="1"/>
        <v>0.97882716615734233</v>
      </c>
      <c r="E22" s="20">
        <f t="shared" si="2"/>
        <v>1001</v>
      </c>
      <c r="F22" s="6"/>
    </row>
    <row r="23" spans="1:6">
      <c r="A23" s="17">
        <f>'R-T Table'!A24</f>
        <v>-25</v>
      </c>
      <c r="B23" s="18">
        <f>'R-T Table'!C24</f>
        <v>653.64300000000003</v>
      </c>
      <c r="C23" s="7">
        <f t="shared" si="0"/>
        <v>2.2484029594267789</v>
      </c>
      <c r="D23" s="19">
        <f t="shared" si="1"/>
        <v>0.97756650409859958</v>
      </c>
      <c r="E23" s="20">
        <f t="shared" si="2"/>
        <v>1000</v>
      </c>
      <c r="F23" s="6"/>
    </row>
    <row r="24" spans="1:6">
      <c r="A24" s="17">
        <f>'R-T Table'!A25</f>
        <v>-24</v>
      </c>
      <c r="B24" s="18">
        <f>'R-T Table'!C25</f>
        <v>616.33199999999999</v>
      </c>
      <c r="C24" s="7">
        <f t="shared" si="0"/>
        <v>2.2453536332706086</v>
      </c>
      <c r="D24" s="19">
        <f t="shared" si="1"/>
        <v>0.97624071011765601</v>
      </c>
      <c r="E24" s="20">
        <f t="shared" si="2"/>
        <v>999</v>
      </c>
      <c r="F24" s="6"/>
    </row>
    <row r="25" spans="1:6">
      <c r="A25" s="17">
        <f>'R-T Table'!A26</f>
        <v>-23</v>
      </c>
      <c r="B25" s="18">
        <f>'R-T Table'!C26</f>
        <v>581.34100000000001</v>
      </c>
      <c r="C25" s="7">
        <f t="shared" si="0"/>
        <v>2.2421471943066131</v>
      </c>
      <c r="D25" s="19">
        <f t="shared" si="1"/>
        <v>0.97484660622026664</v>
      </c>
      <c r="E25" s="20">
        <f t="shared" si="2"/>
        <v>997</v>
      </c>
      <c r="F25" s="6"/>
    </row>
    <row r="26" spans="1:6">
      <c r="A26" s="17">
        <f>'R-T Table'!A27</f>
        <v>-22</v>
      </c>
      <c r="B26" s="18">
        <f>'R-T Table'!C27</f>
        <v>548.50900000000001</v>
      </c>
      <c r="C26" s="7">
        <f t="shared" si="0"/>
        <v>2.2387764880418946</v>
      </c>
      <c r="D26" s="19">
        <f t="shared" si="1"/>
        <v>0.9733810817573455</v>
      </c>
      <c r="E26" s="20">
        <f t="shared" si="2"/>
        <v>996</v>
      </c>
      <c r="F26" s="6"/>
    </row>
    <row r="27" spans="1:6">
      <c r="A27" s="17">
        <f>'R-T Table'!A28</f>
        <v>-21</v>
      </c>
      <c r="B27" s="18">
        <f>'R-T Table'!C28</f>
        <v>517.68499999999995</v>
      </c>
      <c r="C27" s="7">
        <f t="shared" si="0"/>
        <v>2.2352337685498935</v>
      </c>
      <c r="D27" s="19">
        <f t="shared" si="1"/>
        <v>0.97184076893473637</v>
      </c>
      <c r="E27" s="20">
        <f t="shared" si="2"/>
        <v>994</v>
      </c>
      <c r="F27" s="6"/>
    </row>
    <row r="28" spans="1:6">
      <c r="A28" s="17">
        <f>'R-T Table'!A29</f>
        <v>-20</v>
      </c>
      <c r="B28" s="18">
        <f>'R-T Table'!C29</f>
        <v>488.73200000000003</v>
      </c>
      <c r="C28" s="7">
        <f t="shared" si="0"/>
        <v>2.2315112004002127</v>
      </c>
      <c r="D28" s="19">
        <f t="shared" si="1"/>
        <v>0.97022226104357079</v>
      </c>
      <c r="E28" s="20">
        <f t="shared" si="2"/>
        <v>993</v>
      </c>
      <c r="F28" s="6"/>
    </row>
    <row r="29" spans="1:6">
      <c r="A29" s="17">
        <f>'R-T Table'!A30</f>
        <v>-19</v>
      </c>
      <c r="B29" s="18">
        <f>'R-T Table'!C30</f>
        <v>461.52499999999998</v>
      </c>
      <c r="C29" s="7">
        <f t="shared" si="0"/>
        <v>2.2276008603955719</v>
      </c>
      <c r="D29" s="19">
        <f t="shared" si="1"/>
        <v>0.96852211321546611</v>
      </c>
      <c r="E29" s="20">
        <f t="shared" si="2"/>
        <v>991</v>
      </c>
      <c r="F29" s="6"/>
    </row>
    <row r="30" spans="1:6">
      <c r="A30" s="17">
        <f>'R-T Table'!A31</f>
        <v>-18</v>
      </c>
      <c r="B30" s="18">
        <f>'R-T Table'!C31</f>
        <v>435.94799999999998</v>
      </c>
      <c r="C30" s="7">
        <f t="shared" si="0"/>
        <v>2.2234945049096568</v>
      </c>
      <c r="D30" s="19">
        <f t="shared" si="1"/>
        <v>0.96673674126506826</v>
      </c>
      <c r="E30" s="20">
        <f t="shared" si="2"/>
        <v>989</v>
      </c>
      <c r="F30" s="6"/>
    </row>
    <row r="31" spans="1:6">
      <c r="A31" s="17">
        <f>'R-T Table'!A32</f>
        <v>-17</v>
      </c>
      <c r="B31" s="18">
        <f>'R-T Table'!C32</f>
        <v>411.89499999999998</v>
      </c>
      <c r="C31" s="7">
        <f t="shared" si="0"/>
        <v>2.2191838742547931</v>
      </c>
      <c r="D31" s="19">
        <f t="shared" si="1"/>
        <v>0.96486255402382315</v>
      </c>
      <c r="E31" s="20">
        <f t="shared" si="2"/>
        <v>987</v>
      </c>
      <c r="F31" s="6"/>
    </row>
    <row r="32" spans="1:6">
      <c r="A32" s="17">
        <f>'R-T Table'!A33</f>
        <v>-16</v>
      </c>
      <c r="B32" s="18">
        <f>'R-T Table'!C33</f>
        <v>389.26799999999997</v>
      </c>
      <c r="C32" s="7">
        <f t="shared" si="0"/>
        <v>2.214660571699961</v>
      </c>
      <c r="D32" s="19">
        <f t="shared" si="1"/>
        <v>0.96289590073911357</v>
      </c>
      <c r="E32" s="20">
        <f t="shared" si="2"/>
        <v>985</v>
      </c>
      <c r="F32" s="6"/>
    </row>
    <row r="33" spans="1:6">
      <c r="A33" s="17">
        <f>'R-T Table'!A34</f>
        <v>-15</v>
      </c>
      <c r="B33" s="18">
        <f>'R-T Table'!C34</f>
        <v>367.97399999999999</v>
      </c>
      <c r="C33" s="7">
        <f t="shared" si="0"/>
        <v>2.2099155556251859</v>
      </c>
      <c r="D33" s="19">
        <f t="shared" si="1"/>
        <v>0.96083285027182008</v>
      </c>
      <c r="E33" s="20">
        <f t="shared" si="2"/>
        <v>983</v>
      </c>
      <c r="F33" s="6"/>
    </row>
    <row r="34" spans="1:6">
      <c r="A34" s="17">
        <f>'R-T Table'!A35</f>
        <v>-14</v>
      </c>
      <c r="B34" s="18">
        <f>'R-T Table'!C35</f>
        <v>347.93099999999998</v>
      </c>
      <c r="C34" s="7">
        <f t="shared" si="0"/>
        <v>2.2049406085454257</v>
      </c>
      <c r="D34" s="19">
        <f t="shared" si="1"/>
        <v>0.95866982980235904</v>
      </c>
      <c r="E34" s="20">
        <f t="shared" si="2"/>
        <v>981</v>
      </c>
      <c r="F34" s="6"/>
    </row>
    <row r="35" spans="1:6">
      <c r="A35" s="17">
        <f>'R-T Table'!A36</f>
        <v>-13</v>
      </c>
      <c r="B35" s="18">
        <f>'R-T Table'!C36</f>
        <v>329.05900000000003</v>
      </c>
      <c r="C35" s="7">
        <f t="shared" si="0"/>
        <v>2.1997265003967339</v>
      </c>
      <c r="D35" s="19">
        <f t="shared" si="1"/>
        <v>0.95640282625944961</v>
      </c>
      <c r="E35" s="20">
        <f t="shared" si="2"/>
        <v>978</v>
      </c>
      <c r="F35" s="6"/>
    </row>
    <row r="36" spans="1:6">
      <c r="A36" s="17">
        <f>'R-T Table'!A37</f>
        <v>-12</v>
      </c>
      <c r="B36" s="18">
        <f>'R-T Table'!C37</f>
        <v>311.28699999999998</v>
      </c>
      <c r="C36" s="7">
        <f t="shared" si="0"/>
        <v>2.1942648649808296</v>
      </c>
      <c r="D36" s="19">
        <f t="shared" si="1"/>
        <v>0.95402820216557815</v>
      </c>
      <c r="E36" s="20">
        <f t="shared" si="2"/>
        <v>976</v>
      </c>
      <c r="F36" s="6"/>
    </row>
    <row r="37" spans="1:6">
      <c r="A37" s="17">
        <f>'R-T Table'!A38</f>
        <v>-11</v>
      </c>
      <c r="B37" s="18">
        <f>'R-T Table'!C38</f>
        <v>294.54700000000003</v>
      </c>
      <c r="C37" s="7">
        <f t="shared" si="0"/>
        <v>2.1885468119542426</v>
      </c>
      <c r="D37" s="19">
        <f t="shared" si="1"/>
        <v>0.95154209215401864</v>
      </c>
      <c r="E37" s="20">
        <f t="shared" si="2"/>
        <v>973</v>
      </c>
      <c r="F37" s="6"/>
    </row>
    <row r="38" spans="1:6">
      <c r="A38" s="17">
        <f>'R-T Table'!A39</f>
        <v>-10</v>
      </c>
      <c r="B38" s="18">
        <f>'R-T Table'!C39</f>
        <v>278.77499999999998</v>
      </c>
      <c r="C38" s="7">
        <f t="shared" si="0"/>
        <v>2.1825631861118202</v>
      </c>
      <c r="D38" s="19">
        <f t="shared" si="1"/>
        <v>0.94894051570079152</v>
      </c>
      <c r="E38" s="20">
        <f t="shared" si="2"/>
        <v>971</v>
      </c>
      <c r="F38" s="6"/>
    </row>
    <row r="39" spans="1:6">
      <c r="A39" s="17">
        <f>'R-T Table'!A40</f>
        <v>-9</v>
      </c>
      <c r="B39" s="18">
        <f>'R-T Table'!C40</f>
        <v>263.91399999999999</v>
      </c>
      <c r="C39" s="7">
        <f t="shared" si="0"/>
        <v>2.176305958108951</v>
      </c>
      <c r="D39" s="19">
        <f t="shared" si="1"/>
        <v>0.94621998178650046</v>
      </c>
      <c r="E39" s="20">
        <f t="shared" si="2"/>
        <v>968</v>
      </c>
      <c r="F39" s="6"/>
    </row>
    <row r="40" spans="1:6">
      <c r="A40" s="17">
        <f>'R-T Table'!A41</f>
        <v>-8</v>
      </c>
      <c r="B40" s="18">
        <f>'R-T Table'!C41</f>
        <v>249.90700000000001</v>
      </c>
      <c r="C40" s="7">
        <f t="shared" ref="C40:C71" si="3">$B$2*B40/($B$3+B40)</f>
        <v>2.1697656158576404</v>
      </c>
      <c r="D40" s="19">
        <f t="shared" ref="D40:D71" si="4">C40/$B$2</f>
        <v>0.94337635472071324</v>
      </c>
      <c r="E40" s="20">
        <f t="shared" ref="E40:E71" si="5">ROUND(D40*(2^$B$4-1),0)</f>
        <v>965</v>
      </c>
      <c r="F40" s="6"/>
    </row>
    <row r="41" spans="1:6">
      <c r="A41" s="17">
        <f>'R-T Table'!A42</f>
        <v>-7</v>
      </c>
      <c r="B41" s="18">
        <f>'R-T Table'!C42</f>
        <v>236.70500000000001</v>
      </c>
      <c r="C41" s="7">
        <f t="shared" si="3"/>
        <v>2.162934784767883</v>
      </c>
      <c r="D41" s="19">
        <f t="shared" si="4"/>
        <v>0.94040642815994924</v>
      </c>
      <c r="E41" s="20">
        <f t="shared" si="5"/>
        <v>962</v>
      </c>
      <c r="F41" s="6"/>
    </row>
    <row r="42" spans="1:6">
      <c r="A42" s="17">
        <f>'R-T Table'!A43</f>
        <v>-6</v>
      </c>
      <c r="B42" s="18">
        <f>'R-T Table'!C43</f>
        <v>224.25800000000001</v>
      </c>
      <c r="C42" s="7">
        <f t="shared" si="3"/>
        <v>2.1558041946350803</v>
      </c>
      <c r="D42" s="19">
        <f t="shared" si="4"/>
        <v>0.9373061715804698</v>
      </c>
      <c r="E42" s="20">
        <f t="shared" si="5"/>
        <v>959</v>
      </c>
      <c r="F42" s="6"/>
    </row>
    <row r="43" spans="1:6">
      <c r="A43" s="17">
        <f>'R-T Table'!A44</f>
        <v>-5</v>
      </c>
      <c r="B43" s="18">
        <f>'R-T Table'!C44</f>
        <v>212.52199999999999</v>
      </c>
      <c r="C43" s="7">
        <f t="shared" si="3"/>
        <v>2.1483663118291854</v>
      </c>
      <c r="D43" s="19">
        <f t="shared" si="4"/>
        <v>0.93407230949095021</v>
      </c>
      <c r="E43" s="20">
        <f t="shared" si="5"/>
        <v>956</v>
      </c>
      <c r="F43" s="6"/>
    </row>
    <row r="44" spans="1:6">
      <c r="A44" s="17">
        <f>'R-T Table'!A45</f>
        <v>-4</v>
      </c>
      <c r="B44" s="18">
        <f>'R-T Table'!C45</f>
        <v>201.45599999999999</v>
      </c>
      <c r="C44" s="7">
        <f t="shared" si="3"/>
        <v>2.140614258787005</v>
      </c>
      <c r="D44" s="19">
        <f t="shared" si="4"/>
        <v>0.93070185164652397</v>
      </c>
      <c r="E44" s="20">
        <f t="shared" si="5"/>
        <v>952</v>
      </c>
      <c r="F44" s="6"/>
    </row>
    <row r="45" spans="1:6">
      <c r="A45" s="17">
        <f>'R-T Table'!A46</f>
        <v>-3</v>
      </c>
      <c r="B45" s="18">
        <f>'R-T Table'!C46</f>
        <v>191.03899999999999</v>
      </c>
      <c r="C45" s="7">
        <f t="shared" si="3"/>
        <v>2.1325559724129897</v>
      </c>
      <c r="D45" s="19">
        <f t="shared" si="4"/>
        <v>0.92719824887521296</v>
      </c>
      <c r="E45" s="20">
        <f t="shared" si="5"/>
        <v>949</v>
      </c>
      <c r="F45" s="6"/>
    </row>
    <row r="46" spans="1:6">
      <c r="A46" s="17">
        <f>'R-T Table'!A47</f>
        <v>-2</v>
      </c>
      <c r="B46" s="18">
        <f>'R-T Table'!C47</f>
        <v>181.17400000000001</v>
      </c>
      <c r="C46" s="7">
        <f t="shared" si="3"/>
        <v>2.1241357162518986</v>
      </c>
      <c r="D46" s="19">
        <f t="shared" si="4"/>
        <v>0.9235372679356082</v>
      </c>
      <c r="E46" s="20">
        <f t="shared" si="5"/>
        <v>945</v>
      </c>
      <c r="F46" s="6"/>
    </row>
    <row r="47" spans="1:6">
      <c r="A47" s="17">
        <f>'R-T Table'!A48</f>
        <v>-1</v>
      </c>
      <c r="B47" s="18">
        <f>'R-T Table'!C48</f>
        <v>171.887</v>
      </c>
      <c r="C47" s="7">
        <f t="shared" si="3"/>
        <v>2.1153964695243648</v>
      </c>
      <c r="D47" s="19">
        <f t="shared" si="4"/>
        <v>0.91973759544537603</v>
      </c>
      <c r="E47" s="20">
        <f t="shared" si="5"/>
        <v>941</v>
      </c>
      <c r="F47" s="6"/>
    </row>
    <row r="48" spans="1:6">
      <c r="A48" s="17">
        <f>'R-T Table'!A49</f>
        <v>0</v>
      </c>
      <c r="B48" s="18">
        <f>'R-T Table'!C49</f>
        <v>163.126</v>
      </c>
      <c r="C48" s="7">
        <f t="shared" si="3"/>
        <v>2.1063168768175338</v>
      </c>
      <c r="D48" s="19">
        <f t="shared" si="4"/>
        <v>0.91578994644240608</v>
      </c>
      <c r="E48" s="20">
        <f t="shared" si="5"/>
        <v>937</v>
      </c>
      <c r="F48" s="6"/>
    </row>
    <row r="49" spans="1:6">
      <c r="A49" s="17">
        <f>'R-T Table'!A50</f>
        <v>1</v>
      </c>
      <c r="B49" s="18">
        <f>'R-T Table'!C50</f>
        <v>154.85900000000001</v>
      </c>
      <c r="C49" s="7">
        <f t="shared" si="3"/>
        <v>2.0968903620061345</v>
      </c>
      <c r="D49" s="19">
        <f t="shared" si="4"/>
        <v>0.91169146174179772</v>
      </c>
      <c r="E49" s="20">
        <f t="shared" si="5"/>
        <v>933</v>
      </c>
      <c r="F49" s="6"/>
    </row>
    <row r="50" spans="1:6">
      <c r="A50" s="17">
        <f>'R-T Table'!A51</f>
        <v>2</v>
      </c>
      <c r="B50" s="18">
        <f>'R-T Table'!C51</f>
        <v>147.05799999999999</v>
      </c>
      <c r="C50" s="7">
        <f t="shared" si="3"/>
        <v>2.0871132557479419</v>
      </c>
      <c r="D50" s="19">
        <f t="shared" si="4"/>
        <v>0.90744054597736612</v>
      </c>
      <c r="E50" s="20">
        <f t="shared" si="5"/>
        <v>928</v>
      </c>
      <c r="F50" s="6"/>
    </row>
    <row r="51" spans="1:6">
      <c r="A51" s="17">
        <f>'R-T Table'!A52</f>
        <v>3</v>
      </c>
      <c r="B51" s="18">
        <f>'R-T Table'!C52</f>
        <v>139.696</v>
      </c>
      <c r="C51" s="7">
        <f t="shared" si="3"/>
        <v>2.0769819516988157</v>
      </c>
      <c r="D51" s="19">
        <f t="shared" si="4"/>
        <v>0.90303563117339825</v>
      </c>
      <c r="E51" s="20">
        <f t="shared" si="5"/>
        <v>924</v>
      </c>
      <c r="F51" s="6"/>
    </row>
    <row r="52" spans="1:6">
      <c r="A52" s="17">
        <f>'R-T Table'!A53</f>
        <v>4</v>
      </c>
      <c r="B52" s="18">
        <f>'R-T Table'!C53</f>
        <v>132.74700000000001</v>
      </c>
      <c r="C52" s="7">
        <f t="shared" si="3"/>
        <v>2.0664927206643791</v>
      </c>
      <c r="D52" s="19">
        <f t="shared" si="4"/>
        <v>0.89847509594103447</v>
      </c>
      <c r="E52" s="20">
        <f t="shared" si="5"/>
        <v>919</v>
      </c>
      <c r="F52" s="6"/>
    </row>
    <row r="53" spans="1:6">
      <c r="A53" s="17">
        <f>'R-T Table'!A54</f>
        <v>5</v>
      </c>
      <c r="B53" s="18">
        <f>'R-T Table'!C54</f>
        <v>126.187</v>
      </c>
      <c r="C53" s="7">
        <f t="shared" si="3"/>
        <v>2.055643224942806</v>
      </c>
      <c r="D53" s="19">
        <f t="shared" si="4"/>
        <v>0.89375792388817665</v>
      </c>
      <c r="E53" s="20">
        <f t="shared" si="5"/>
        <v>914</v>
      </c>
      <c r="F53" s="6"/>
    </row>
    <row r="54" spans="1:6">
      <c r="A54" s="17">
        <f>'R-T Table'!A55</f>
        <v>6</v>
      </c>
      <c r="B54" s="18">
        <f>'R-T Table'!C55</f>
        <v>119.994</v>
      </c>
      <c r="C54" s="7">
        <f t="shared" si="3"/>
        <v>2.0444330859149296</v>
      </c>
      <c r="D54" s="19">
        <f t="shared" si="4"/>
        <v>0.88888395039779555</v>
      </c>
      <c r="E54" s="20">
        <f t="shared" si="5"/>
        <v>909</v>
      </c>
      <c r="F54" s="6"/>
    </row>
    <row r="55" spans="1:6">
      <c r="A55" s="17">
        <f>'R-T Table'!A56</f>
        <v>7</v>
      </c>
      <c r="B55" s="18">
        <f>'R-T Table'!C56</f>
        <v>114.14700000000001</v>
      </c>
      <c r="C55" s="7">
        <f t="shared" si="3"/>
        <v>2.0328625519756556</v>
      </c>
      <c r="D55" s="19">
        <f t="shared" si="4"/>
        <v>0.88385328346767644</v>
      </c>
      <c r="E55" s="20">
        <f t="shared" si="5"/>
        <v>904</v>
      </c>
      <c r="F55" s="6"/>
    </row>
    <row r="56" spans="1:6">
      <c r="A56" s="17">
        <f>'R-T Table'!A57</f>
        <v>8</v>
      </c>
      <c r="B56" s="18">
        <f>'R-T Table'!C57</f>
        <v>108.626</v>
      </c>
      <c r="C56" s="7">
        <f t="shared" si="3"/>
        <v>2.0209324899293026</v>
      </c>
      <c r="D56" s="19">
        <f t="shared" si="4"/>
        <v>0.87866629996926204</v>
      </c>
      <c r="E56" s="20">
        <f t="shared" si="5"/>
        <v>899</v>
      </c>
      <c r="F56" s="6"/>
    </row>
    <row r="57" spans="1:6">
      <c r="A57" s="17">
        <f>'R-T Table'!A58</f>
        <v>9</v>
      </c>
      <c r="B57" s="18">
        <f>'R-T Table'!C58</f>
        <v>103.411</v>
      </c>
      <c r="C57" s="7">
        <f t="shared" si="3"/>
        <v>2.0086419336041414</v>
      </c>
      <c r="D57" s="19">
        <f t="shared" si="4"/>
        <v>0.87332257982788764</v>
      </c>
      <c r="E57" s="20">
        <f t="shared" si="5"/>
        <v>893</v>
      </c>
      <c r="F57" s="6"/>
    </row>
    <row r="58" spans="1:6">
      <c r="A58" s="17">
        <f>'R-T Table'!A59</f>
        <v>10</v>
      </c>
      <c r="B58" s="18">
        <f>'R-T Table'!C59</f>
        <v>98.486000000000004</v>
      </c>
      <c r="C58" s="7">
        <f t="shared" si="3"/>
        <v>1.9959977442151453</v>
      </c>
      <c r="D58" s="19">
        <f t="shared" si="4"/>
        <v>0.86782510618049802</v>
      </c>
      <c r="E58" s="20">
        <f t="shared" si="5"/>
        <v>888</v>
      </c>
      <c r="F58" s="6"/>
    </row>
    <row r="59" spans="1:6">
      <c r="A59" s="17">
        <f>'R-T Table'!A60</f>
        <v>11</v>
      </c>
      <c r="B59" s="18">
        <f>'R-T Table'!C60</f>
        <v>93.832999999999998</v>
      </c>
      <c r="C59" s="7">
        <f t="shared" si="3"/>
        <v>1.9830005604917624</v>
      </c>
      <c r="D59" s="19">
        <f t="shared" si="4"/>
        <v>0.86217415673554898</v>
      </c>
      <c r="E59" s="20">
        <f t="shared" si="5"/>
        <v>882</v>
      </c>
      <c r="F59" s="6"/>
    </row>
    <row r="60" spans="1:6">
      <c r="A60" s="17">
        <f>'R-T Table'!A61</f>
        <v>12</v>
      </c>
      <c r="B60" s="18">
        <f>'R-T Table'!C61</f>
        <v>89.436999999999998</v>
      </c>
      <c r="C60" s="7">
        <f t="shared" si="3"/>
        <v>1.9696573053611268</v>
      </c>
      <c r="D60" s="19">
        <f t="shared" si="4"/>
        <v>0.85637274146135955</v>
      </c>
      <c r="E60" s="20">
        <f t="shared" si="5"/>
        <v>876</v>
      </c>
      <c r="F60" s="6"/>
    </row>
    <row r="61" spans="1:6">
      <c r="A61" s="17">
        <f>'R-T Table'!A62</f>
        <v>13</v>
      </c>
      <c r="B61" s="18">
        <f>'R-T Table'!C62</f>
        <v>85.283000000000001</v>
      </c>
      <c r="C61" s="7">
        <f t="shared" si="3"/>
        <v>1.9559735947269226</v>
      </c>
      <c r="D61" s="19">
        <f t="shared" si="4"/>
        <v>0.85042330205518379</v>
      </c>
      <c r="E61" s="20">
        <f t="shared" si="5"/>
        <v>870</v>
      </c>
      <c r="F61" s="6"/>
    </row>
    <row r="62" spans="1:6">
      <c r="A62" s="17">
        <f>'R-T Table'!A63</f>
        <v>14</v>
      </c>
      <c r="B62" s="18">
        <f>'R-T Table'!C63</f>
        <v>81.358000000000004</v>
      </c>
      <c r="C62" s="7">
        <f t="shared" si="3"/>
        <v>1.941960190124328</v>
      </c>
      <c r="D62" s="19">
        <f t="shared" si="4"/>
        <v>0.84433051744536003</v>
      </c>
      <c r="E62" s="20">
        <f t="shared" si="5"/>
        <v>864</v>
      </c>
      <c r="F62" s="6"/>
    </row>
    <row r="63" spans="1:6">
      <c r="A63" s="17">
        <f>'R-T Table'!A64</f>
        <v>15</v>
      </c>
      <c r="B63" s="18">
        <f>'R-T Table'!C64</f>
        <v>77.647000000000006</v>
      </c>
      <c r="C63" s="7">
        <f t="shared" si="3"/>
        <v>1.9276188111865467</v>
      </c>
      <c r="D63" s="19">
        <f t="shared" si="4"/>
        <v>0.83809513529849866</v>
      </c>
      <c r="E63" s="20">
        <f t="shared" si="5"/>
        <v>857</v>
      </c>
      <c r="F63" s="6"/>
    </row>
    <row r="64" spans="1:6">
      <c r="A64" s="17">
        <f>'R-T Table'!A65</f>
        <v>16</v>
      </c>
      <c r="B64" s="18">
        <f>'R-T Table'!C65</f>
        <v>74.14</v>
      </c>
      <c r="C64" s="7">
        <f t="shared" si="3"/>
        <v>1.9129683643706528</v>
      </c>
      <c r="D64" s="19">
        <f t="shared" si="4"/>
        <v>0.83172537581332739</v>
      </c>
      <c r="E64" s="20">
        <f t="shared" si="5"/>
        <v>851</v>
      </c>
      <c r="F64" s="6"/>
    </row>
    <row r="65" spans="1:6">
      <c r="A65" s="17">
        <f>'R-T Table'!A66</f>
        <v>17</v>
      </c>
      <c r="B65" s="18">
        <f>'R-T Table'!C66</f>
        <v>70.823999999999998</v>
      </c>
      <c r="C65" s="7">
        <f t="shared" si="3"/>
        <v>1.8980145413870244</v>
      </c>
      <c r="D65" s="19">
        <f t="shared" si="4"/>
        <v>0.82522371364653246</v>
      </c>
      <c r="E65" s="20">
        <f t="shared" si="5"/>
        <v>844</v>
      </c>
      <c r="F65" s="6"/>
    </row>
    <row r="66" spans="1:6">
      <c r="A66" s="17">
        <f>'R-T Table'!A67</f>
        <v>18</v>
      </c>
      <c r="B66" s="18">
        <f>'R-T Table'!C67</f>
        <v>67.688999999999993</v>
      </c>
      <c r="C66" s="7">
        <f t="shared" si="3"/>
        <v>1.8827740086347637</v>
      </c>
      <c r="D66" s="19">
        <f t="shared" si="4"/>
        <v>0.81859739505859297</v>
      </c>
      <c r="E66" s="20">
        <f t="shared" si="5"/>
        <v>837</v>
      </c>
      <c r="F66" s="6"/>
    </row>
    <row r="67" spans="1:6">
      <c r="A67" s="17">
        <f>'R-T Table'!A68</f>
        <v>19</v>
      </c>
      <c r="B67" s="18">
        <f>'R-T Table'!C68</f>
        <v>64.722999999999999</v>
      </c>
      <c r="C67" s="7">
        <f t="shared" si="3"/>
        <v>1.8672516086951068</v>
      </c>
      <c r="D67" s="19">
        <f t="shared" si="4"/>
        <v>0.81184852551961173</v>
      </c>
      <c r="E67" s="20">
        <f t="shared" si="5"/>
        <v>831</v>
      </c>
      <c r="F67" s="6"/>
    </row>
    <row r="68" spans="1:6">
      <c r="A68" s="17">
        <f>'R-T Table'!A69</f>
        <v>20</v>
      </c>
      <c r="B68" s="18">
        <f>'R-T Table'!C69</f>
        <v>61.917999999999999</v>
      </c>
      <c r="C68" s="7">
        <f t="shared" si="3"/>
        <v>1.8514703970462048</v>
      </c>
      <c r="D68" s="19">
        <f t="shared" si="4"/>
        <v>0.80498712915052384</v>
      </c>
      <c r="E68" s="20">
        <f t="shared" si="5"/>
        <v>824</v>
      </c>
      <c r="F68" s="6"/>
    </row>
    <row r="69" spans="1:6">
      <c r="A69" s="17">
        <f>'R-T Table'!A70</f>
        <v>21</v>
      </c>
      <c r="B69" s="18">
        <f>'R-T Table'!C70</f>
        <v>59.265000000000001</v>
      </c>
      <c r="C69" s="7">
        <f t="shared" si="3"/>
        <v>1.8354473843667944</v>
      </c>
      <c r="D69" s="19">
        <f t="shared" si="4"/>
        <v>0.79802060189860635</v>
      </c>
      <c r="E69" s="20">
        <f t="shared" si="5"/>
        <v>816</v>
      </c>
      <c r="F69" s="6"/>
    </row>
    <row r="70" spans="1:6">
      <c r="A70" s="17">
        <f>'R-T Table'!A71</f>
        <v>22</v>
      </c>
      <c r="B70" s="18">
        <f>'R-T Table'!C71</f>
        <v>56.753999999999998</v>
      </c>
      <c r="C70" s="7">
        <f t="shared" si="3"/>
        <v>1.8191905677732254</v>
      </c>
      <c r="D70" s="19">
        <f t="shared" si="4"/>
        <v>0.79095242077096761</v>
      </c>
      <c r="E70" s="20">
        <f t="shared" si="5"/>
        <v>809</v>
      </c>
      <c r="F70" s="6"/>
    </row>
    <row r="71" spans="1:6">
      <c r="A71" s="17">
        <f>'R-T Table'!A72</f>
        <v>23</v>
      </c>
      <c r="B71" s="18">
        <f>'R-T Table'!C72</f>
        <v>54.378</v>
      </c>
      <c r="C71" s="7">
        <f t="shared" si="3"/>
        <v>1.8027242065207989</v>
      </c>
      <c r="D71" s="19">
        <f t="shared" si="4"/>
        <v>0.78379313326991262</v>
      </c>
      <c r="E71" s="20">
        <f t="shared" si="5"/>
        <v>802</v>
      </c>
      <c r="F71" s="6"/>
    </row>
    <row r="72" spans="1:6">
      <c r="A72" s="17">
        <f>'R-T Table'!A73</f>
        <v>24</v>
      </c>
      <c r="B72" s="18">
        <f>'R-T Table'!C73</f>
        <v>52.128999999999998</v>
      </c>
      <c r="C72" s="7">
        <f t="shared" ref="C72:C103" si="6">$B$2*B72/($B$3+B72)</f>
        <v>1.7860641451533614</v>
      </c>
      <c r="D72" s="19">
        <f t="shared" ref="D72:D103" si="7">C72/$B$2</f>
        <v>0.77654962832754848</v>
      </c>
      <c r="E72" s="20">
        <f t="shared" ref="E72:E103" si="8">ROUND(D72*(2^$B$4-1),0)</f>
        <v>794</v>
      </c>
      <c r="F72" s="6"/>
    </row>
    <row r="73" spans="1:6">
      <c r="A73" s="22">
        <f>'R-T Table'!A74</f>
        <v>25</v>
      </c>
      <c r="B73" s="23">
        <f>'R-T Table'!C74</f>
        <v>50</v>
      </c>
      <c r="C73" s="11">
        <f t="shared" si="6"/>
        <v>1.7692307692307689</v>
      </c>
      <c r="D73" s="24">
        <f t="shared" si="7"/>
        <v>0.76923076923076916</v>
      </c>
      <c r="E73" s="25">
        <f t="shared" si="8"/>
        <v>787</v>
      </c>
      <c r="F73" s="10" t="s">
        <v>27</v>
      </c>
    </row>
    <row r="74" spans="1:6">
      <c r="A74" s="17">
        <f>'R-T Table'!A75</f>
        <v>26</v>
      </c>
      <c r="B74" s="18">
        <f>'R-T Table'!C75</f>
        <v>47.862000000000002</v>
      </c>
      <c r="C74" s="7">
        <f t="shared" si="6"/>
        <v>1.7511787725493939</v>
      </c>
      <c r="D74" s="19">
        <f t="shared" si="7"/>
        <v>0.7613820750214757</v>
      </c>
      <c r="E74" s="20">
        <f t="shared" si="8"/>
        <v>779</v>
      </c>
      <c r="F74" s="6"/>
    </row>
    <row r="75" spans="1:6">
      <c r="A75" s="17">
        <f>'R-T Table'!A76</f>
        <v>27</v>
      </c>
      <c r="B75" s="18">
        <f>'R-T Table'!C76</f>
        <v>45.826000000000001</v>
      </c>
      <c r="C75" s="7">
        <f t="shared" si="6"/>
        <v>1.7328083385394404</v>
      </c>
      <c r="D75" s="19">
        <f t="shared" si="7"/>
        <v>0.75339492979975675</v>
      </c>
      <c r="E75" s="20">
        <f t="shared" si="8"/>
        <v>771</v>
      </c>
      <c r="F75" s="6"/>
    </row>
    <row r="76" spans="1:6">
      <c r="A76" s="17">
        <f>'R-T Table'!A77</f>
        <v>28</v>
      </c>
      <c r="B76" s="18">
        <f>'R-T Table'!C77</f>
        <v>43.886000000000003</v>
      </c>
      <c r="C76" s="7">
        <f t="shared" si="6"/>
        <v>1.7141222022212408</v>
      </c>
      <c r="D76" s="19">
        <f t="shared" si="7"/>
        <v>0.74527052270488736</v>
      </c>
      <c r="E76" s="20">
        <f t="shared" si="8"/>
        <v>762</v>
      </c>
      <c r="F76" s="6"/>
    </row>
    <row r="77" spans="1:6">
      <c r="A77" s="17">
        <f>'R-T Table'!A78</f>
        <v>29</v>
      </c>
      <c r="B77" s="18">
        <f>'R-T Table'!C78</f>
        <v>42.039000000000001</v>
      </c>
      <c r="C77" s="7">
        <f t="shared" si="6"/>
        <v>1.6951506863724819</v>
      </c>
      <c r="D77" s="19">
        <f t="shared" si="7"/>
        <v>0.73702203755325302</v>
      </c>
      <c r="E77" s="20">
        <f t="shared" si="8"/>
        <v>754</v>
      </c>
      <c r="F77" s="6"/>
    </row>
    <row r="78" spans="1:6">
      <c r="A78" s="17">
        <f>'R-T Table'!A79</f>
        <v>30</v>
      </c>
      <c r="B78" s="18">
        <f>'R-T Table'!C79</f>
        <v>40.279000000000003</v>
      </c>
      <c r="C78" s="7">
        <f t="shared" si="6"/>
        <v>1.6758931963313373</v>
      </c>
      <c r="D78" s="19">
        <f t="shared" si="7"/>
        <v>0.72864921579623365</v>
      </c>
      <c r="E78" s="20">
        <f t="shared" si="8"/>
        <v>745</v>
      </c>
      <c r="F78" s="6"/>
    </row>
    <row r="79" spans="1:6">
      <c r="A79" s="17">
        <f>'R-T Table'!A80</f>
        <v>31</v>
      </c>
      <c r="B79" s="18">
        <f>'R-T Table'!C80</f>
        <v>38.600999999999999</v>
      </c>
      <c r="C79" s="7">
        <f t="shared" si="6"/>
        <v>1.6563552918788826</v>
      </c>
      <c r="D79" s="19">
        <f t="shared" si="7"/>
        <v>0.72015447472994898</v>
      </c>
      <c r="E79" s="20">
        <f t="shared" si="8"/>
        <v>737</v>
      </c>
      <c r="F79" s="6"/>
    </row>
    <row r="80" spans="1:6">
      <c r="A80" s="17">
        <f>'R-T Table'!A81</f>
        <v>32</v>
      </c>
      <c r="B80" s="18">
        <f>'R-T Table'!C81</f>
        <v>37.002000000000002</v>
      </c>
      <c r="C80" s="7">
        <f t="shared" si="6"/>
        <v>1.6365639783085266</v>
      </c>
      <c r="D80" s="19">
        <f t="shared" si="7"/>
        <v>0.71154955578631596</v>
      </c>
      <c r="E80" s="20">
        <f t="shared" si="8"/>
        <v>728</v>
      </c>
      <c r="F80" s="6"/>
    </row>
    <row r="81" spans="1:6">
      <c r="A81" s="17">
        <f>'R-T Table'!A82</f>
        <v>33</v>
      </c>
      <c r="B81" s="18">
        <f>'R-T Table'!C82</f>
        <v>35.476999999999997</v>
      </c>
      <c r="C81" s="7">
        <f t="shared" si="6"/>
        <v>1.6165203954276204</v>
      </c>
      <c r="D81" s="19">
        <f t="shared" si="7"/>
        <v>0.702834954533748</v>
      </c>
      <c r="E81" s="20">
        <f t="shared" si="8"/>
        <v>719</v>
      </c>
      <c r="F81" s="6"/>
    </row>
    <row r="82" spans="1:6">
      <c r="A82" s="17">
        <f>'R-T Table'!A83</f>
        <v>34</v>
      </c>
      <c r="B82" s="18">
        <f>'R-T Table'!C83</f>
        <v>34.021999999999998</v>
      </c>
      <c r="C82" s="7">
        <f t="shared" si="6"/>
        <v>1.5962343437640243</v>
      </c>
      <c r="D82" s="19">
        <f t="shared" si="7"/>
        <v>0.69401493207131493</v>
      </c>
      <c r="E82" s="20">
        <f t="shared" si="8"/>
        <v>710</v>
      </c>
      <c r="F82" s="6"/>
    </row>
    <row r="83" spans="1:6">
      <c r="A83" s="17">
        <f>'R-T Table'!A84</f>
        <v>35</v>
      </c>
      <c r="B83" s="18">
        <f>'R-T Table'!C84</f>
        <v>32.634999999999998</v>
      </c>
      <c r="C83" s="7">
        <f t="shared" si="6"/>
        <v>1.5757426262202161</v>
      </c>
      <c r="D83" s="19">
        <f t="shared" si="7"/>
        <v>0.68510548966096363</v>
      </c>
      <c r="E83" s="20">
        <f t="shared" si="8"/>
        <v>701</v>
      </c>
      <c r="F83" s="6"/>
    </row>
    <row r="84" spans="1:6">
      <c r="A84" s="17">
        <f>'R-T Table'!A85</f>
        <v>36</v>
      </c>
      <c r="B84" s="18">
        <f>'R-T Table'!C85</f>
        <v>31.311</v>
      </c>
      <c r="C84" s="7">
        <f t="shared" si="6"/>
        <v>1.5550366003757206</v>
      </c>
      <c r="D84" s="19">
        <f t="shared" si="7"/>
        <v>0.67610286972857425</v>
      </c>
      <c r="E84" s="20">
        <f t="shared" si="8"/>
        <v>692</v>
      </c>
      <c r="F84" s="6"/>
    </row>
    <row r="85" spans="1:6">
      <c r="A85" s="17">
        <f>'R-T Table'!A86</f>
        <v>37</v>
      </c>
      <c r="B85" s="18">
        <f>'R-T Table'!C86</f>
        <v>30.047999999999998</v>
      </c>
      <c r="C85" s="7">
        <f t="shared" si="6"/>
        <v>1.5341502397442723</v>
      </c>
      <c r="D85" s="19">
        <f t="shared" si="7"/>
        <v>0.66702184336707493</v>
      </c>
      <c r="E85" s="20">
        <f t="shared" si="8"/>
        <v>682</v>
      </c>
      <c r="F85" s="6"/>
    </row>
    <row r="86" spans="1:6">
      <c r="A86" s="17">
        <f>'R-T Table'!A87</f>
        <v>38</v>
      </c>
      <c r="B86" s="18">
        <f>'R-T Table'!C87</f>
        <v>28.841999999999999</v>
      </c>
      <c r="C86" s="7">
        <f t="shared" si="6"/>
        <v>1.5130833447379224</v>
      </c>
      <c r="D86" s="19">
        <f t="shared" si="7"/>
        <v>0.6578623237990967</v>
      </c>
      <c r="E86" s="20">
        <f t="shared" si="8"/>
        <v>673</v>
      </c>
      <c r="F86" s="6"/>
    </row>
    <row r="87" spans="1:6">
      <c r="A87" s="17">
        <f>'R-T Table'!A88</f>
        <v>39</v>
      </c>
      <c r="B87" s="18">
        <f>'R-T Table'!C88</f>
        <v>27.69</v>
      </c>
      <c r="C87" s="7">
        <f t="shared" si="6"/>
        <v>1.4918482080112438</v>
      </c>
      <c r="D87" s="19">
        <f t="shared" si="7"/>
        <v>0.64862965565706254</v>
      </c>
      <c r="E87" s="20">
        <f t="shared" si="8"/>
        <v>664</v>
      </c>
      <c r="F87" s="6"/>
    </row>
    <row r="88" spans="1:6">
      <c r="A88" s="17">
        <f>'R-T Table'!A89</f>
        <v>40</v>
      </c>
      <c r="B88" s="18">
        <f>'R-T Table'!C89</f>
        <v>26.591000000000001</v>
      </c>
      <c r="C88" s="7">
        <f t="shared" si="6"/>
        <v>1.4704936164073956</v>
      </c>
      <c r="D88" s="19">
        <f t="shared" si="7"/>
        <v>0.63934505061191116</v>
      </c>
      <c r="E88" s="20">
        <f t="shared" si="8"/>
        <v>654</v>
      </c>
      <c r="F88" s="6"/>
    </row>
    <row r="89" spans="1:6">
      <c r="A89" s="17">
        <f>'R-T Table'!A90</f>
        <v>41</v>
      </c>
      <c r="B89" s="18">
        <f>'R-T Table'!C90</f>
        <v>25.54</v>
      </c>
      <c r="C89" s="7">
        <f t="shared" si="6"/>
        <v>1.4489886531820422</v>
      </c>
      <c r="D89" s="19">
        <f t="shared" si="7"/>
        <v>0.629995066600888</v>
      </c>
      <c r="E89" s="20">
        <f t="shared" si="8"/>
        <v>644</v>
      </c>
      <c r="F89" s="6"/>
    </row>
    <row r="90" spans="1:6">
      <c r="A90" s="17">
        <f>'R-T Table'!A91</f>
        <v>42</v>
      </c>
      <c r="B90" s="18">
        <f>'R-T Table'!C91</f>
        <v>24.536999999999999</v>
      </c>
      <c r="C90" s="7">
        <f t="shared" si="6"/>
        <v>1.4273996509598601</v>
      </c>
      <c r="D90" s="19">
        <f t="shared" si="7"/>
        <v>0.62060854389559139</v>
      </c>
      <c r="E90" s="20">
        <f t="shared" si="8"/>
        <v>635</v>
      </c>
      <c r="F90" s="6"/>
    </row>
    <row r="91" spans="1:6">
      <c r="A91" s="17">
        <f>'R-T Table'!A92</f>
        <v>43</v>
      </c>
      <c r="B91" s="18">
        <f>'R-T Table'!C92</f>
        <v>23.577000000000002</v>
      </c>
      <c r="C91" s="7">
        <f t="shared" si="6"/>
        <v>1.4056847344272494</v>
      </c>
      <c r="D91" s="19">
        <f t="shared" si="7"/>
        <v>0.61116727583793462</v>
      </c>
      <c r="E91" s="20">
        <f t="shared" si="8"/>
        <v>625</v>
      </c>
      <c r="F91" s="6"/>
    </row>
    <row r="92" spans="1:6">
      <c r="A92" s="17">
        <f>'R-T Table'!A93</f>
        <v>44</v>
      </c>
      <c r="B92" s="18">
        <f>'R-T Table'!C93</f>
        <v>22.661000000000001</v>
      </c>
      <c r="C92" s="7">
        <f t="shared" si="6"/>
        <v>1.3839329810679482</v>
      </c>
      <c r="D92" s="19">
        <f t="shared" si="7"/>
        <v>0.60170999176867312</v>
      </c>
      <c r="E92" s="20">
        <f t="shared" si="8"/>
        <v>616</v>
      </c>
      <c r="F92" s="6"/>
    </row>
    <row r="93" spans="1:6">
      <c r="A93" s="17">
        <f>'R-T Table'!A94</f>
        <v>45</v>
      </c>
      <c r="B93" s="18">
        <f>'R-T Table'!C94</f>
        <v>21.783999999999999</v>
      </c>
      <c r="C93" s="7">
        <f t="shared" si="6"/>
        <v>1.3620922140060894</v>
      </c>
      <c r="D93" s="19">
        <f t="shared" si="7"/>
        <v>0.59221400608960417</v>
      </c>
      <c r="E93" s="20">
        <f t="shared" si="8"/>
        <v>606</v>
      </c>
      <c r="F93" s="6"/>
    </row>
    <row r="94" spans="1:6">
      <c r="A94" s="17">
        <f>'R-T Table'!A95</f>
        <v>46</v>
      </c>
      <c r="B94" s="18">
        <f>'R-T Table'!C95</f>
        <v>20.946000000000002</v>
      </c>
      <c r="C94" s="7">
        <f t="shared" si="6"/>
        <v>1.3402270071774329</v>
      </c>
      <c r="D94" s="19">
        <f t="shared" si="7"/>
        <v>0.58270739442497088</v>
      </c>
      <c r="E94" s="20">
        <f t="shared" si="8"/>
        <v>596</v>
      </c>
      <c r="F94" s="6"/>
    </row>
    <row r="95" spans="1:6">
      <c r="A95" s="17">
        <f>'R-T Table'!A96</f>
        <v>47</v>
      </c>
      <c r="B95" s="18">
        <f>'R-T Table'!C96</f>
        <v>20.143999999999998</v>
      </c>
      <c r="C95" s="7">
        <f t="shared" si="6"/>
        <v>1.3183246073298429</v>
      </c>
      <c r="D95" s="19">
        <f t="shared" si="7"/>
        <v>0.57318461188254044</v>
      </c>
      <c r="E95" s="20">
        <f t="shared" si="8"/>
        <v>586</v>
      </c>
      <c r="F95" s="6"/>
    </row>
    <row r="96" spans="1:6">
      <c r="A96" s="17">
        <f>'R-T Table'!A97</f>
        <v>48</v>
      </c>
      <c r="B96" s="18">
        <f>'R-T Table'!C97</f>
        <v>19.376999999999999</v>
      </c>
      <c r="C96" s="7">
        <f t="shared" si="6"/>
        <v>1.2964220263548303</v>
      </c>
      <c r="D96" s="19">
        <f t="shared" si="7"/>
        <v>0.56366175058905665</v>
      </c>
      <c r="E96" s="20">
        <f t="shared" si="8"/>
        <v>577</v>
      </c>
      <c r="F96" s="6"/>
    </row>
    <row r="97" spans="1:6">
      <c r="A97" s="17">
        <f>'R-T Table'!A98</f>
        <v>49</v>
      </c>
      <c r="B97" s="18">
        <f>'R-T Table'!C98</f>
        <v>18.643000000000001</v>
      </c>
      <c r="C97" s="7">
        <f t="shared" si="6"/>
        <v>1.2745266474452337</v>
      </c>
      <c r="D97" s="19">
        <f t="shared" si="7"/>
        <v>0.55414202062836249</v>
      </c>
      <c r="E97" s="20">
        <f t="shared" si="8"/>
        <v>567</v>
      </c>
      <c r="F97" s="6"/>
    </row>
    <row r="98" spans="1:6">
      <c r="A98" s="17">
        <f>'R-T Table'!A99</f>
        <v>50</v>
      </c>
      <c r="B98" s="18">
        <f>'R-T Table'!C99</f>
        <v>17.940999999999999</v>
      </c>
      <c r="C98" s="7">
        <f t="shared" si="6"/>
        <v>1.2526729607480036</v>
      </c>
      <c r="D98" s="19">
        <f t="shared" si="7"/>
        <v>0.54464041771652338</v>
      </c>
      <c r="E98" s="20">
        <f t="shared" si="8"/>
        <v>557</v>
      </c>
      <c r="F98" s="6"/>
    </row>
    <row r="99" spans="1:6">
      <c r="A99" s="17">
        <f>'R-T Table'!A100</f>
        <v>51</v>
      </c>
      <c r="B99" s="18">
        <f>'R-T Table'!C100</f>
        <v>17.268999999999998</v>
      </c>
      <c r="C99" s="7">
        <f t="shared" si="6"/>
        <v>1.2308624376336419</v>
      </c>
      <c r="D99" s="19">
        <f t="shared" si="7"/>
        <v>0.53515758157984439</v>
      </c>
      <c r="E99" s="20">
        <f t="shared" si="8"/>
        <v>547</v>
      </c>
      <c r="F99" s="6"/>
    </row>
    <row r="100" spans="1:6">
      <c r="A100" s="17">
        <f>'R-T Table'!A101</f>
        <v>52</v>
      </c>
      <c r="B100" s="18">
        <f>'R-T Table'!C101</f>
        <v>16.625</v>
      </c>
      <c r="C100" s="7">
        <f t="shared" si="6"/>
        <v>1.209090909090909</v>
      </c>
      <c r="D100" s="19">
        <f t="shared" si="7"/>
        <v>0.52569169960474305</v>
      </c>
      <c r="E100" s="20">
        <f t="shared" si="8"/>
        <v>538</v>
      </c>
      <c r="F100" s="6"/>
    </row>
    <row r="101" spans="1:6">
      <c r="A101" s="17">
        <f>'R-T Table'!A102</f>
        <v>53</v>
      </c>
      <c r="B101" s="18">
        <f>'R-T Table'!C102</f>
        <v>16.007999999999999</v>
      </c>
      <c r="C101" s="7">
        <f t="shared" si="6"/>
        <v>1.1873839009287925</v>
      </c>
      <c r="D101" s="19">
        <f t="shared" si="7"/>
        <v>0.51625386996904032</v>
      </c>
      <c r="E101" s="20">
        <f t="shared" si="8"/>
        <v>528</v>
      </c>
      <c r="F101" s="6"/>
    </row>
    <row r="102" spans="1:6">
      <c r="A102" s="17">
        <f>'R-T Table'!A103</f>
        <v>54</v>
      </c>
      <c r="B102" s="18">
        <f>'R-T Table'!C103</f>
        <v>15.417</v>
      </c>
      <c r="C102" s="7">
        <f t="shared" si="6"/>
        <v>1.1657658546207712</v>
      </c>
      <c r="D102" s="19">
        <f t="shared" si="7"/>
        <v>0.50685471940033533</v>
      </c>
      <c r="E102" s="20">
        <f t="shared" si="8"/>
        <v>519</v>
      </c>
      <c r="F102" s="6"/>
    </row>
    <row r="103" spans="1:6">
      <c r="A103" s="17">
        <f>'R-T Table'!A104</f>
        <v>55</v>
      </c>
      <c r="B103" s="18">
        <f>'R-T Table'!C104</f>
        <v>14.851000000000001</v>
      </c>
      <c r="C103" s="7">
        <f t="shared" si="6"/>
        <v>1.1442598237914978</v>
      </c>
      <c r="D103" s="19">
        <f t="shared" si="7"/>
        <v>0.49750427121369473</v>
      </c>
      <c r="E103" s="20">
        <f t="shared" si="8"/>
        <v>509</v>
      </c>
      <c r="F103" s="6"/>
    </row>
    <row r="104" spans="1:6">
      <c r="A104" s="17">
        <f>'R-T Table'!A105</f>
        <v>56</v>
      </c>
      <c r="B104" s="18">
        <f>'R-T Table'!C105</f>
        <v>14.308999999999999</v>
      </c>
      <c r="C104" s="7">
        <f t="shared" ref="C104:C135" si="9">$B$2*B104/($B$3+B104)</f>
        <v>1.1228871677641681</v>
      </c>
      <c r="D104" s="19">
        <f t="shared" ref="D104:D135" si="10">C104/$B$2</f>
        <v>0.48821181207137748</v>
      </c>
      <c r="E104" s="20">
        <f t="shared" ref="E104:E135" si="11">ROUND(D104*(2^$B$4-1),0)</f>
        <v>499</v>
      </c>
      <c r="F104" s="6"/>
    </row>
    <row r="105" spans="1:6">
      <c r="A105" s="17">
        <f>'R-T Table'!A106</f>
        <v>57</v>
      </c>
      <c r="B105" s="18">
        <f>'R-T Table'!C106</f>
        <v>13.789</v>
      </c>
      <c r="C105" s="7">
        <f t="shared" si="9"/>
        <v>1.1016256208968702</v>
      </c>
      <c r="D105" s="19">
        <f t="shared" si="10"/>
        <v>0.47896766125950885</v>
      </c>
      <c r="E105" s="20">
        <f t="shared" si="11"/>
        <v>490</v>
      </c>
      <c r="F105" s="6"/>
    </row>
    <row r="106" spans="1:6">
      <c r="A106" s="17">
        <f>'R-T Table'!A107</f>
        <v>58</v>
      </c>
      <c r="B106" s="18">
        <f>'R-T Table'!C107</f>
        <v>13.291</v>
      </c>
      <c r="C106" s="7">
        <f t="shared" si="9"/>
        <v>1.0805309108903891</v>
      </c>
      <c r="D106" s="19">
        <f t="shared" si="10"/>
        <v>0.46979604821321269</v>
      </c>
      <c r="E106" s="20">
        <f t="shared" si="11"/>
        <v>481</v>
      </c>
      <c r="F106" s="6"/>
    </row>
    <row r="107" spans="1:6">
      <c r="A107" s="17">
        <f>'R-T Table'!A108</f>
        <v>59</v>
      </c>
      <c r="B107" s="18">
        <f>'R-T Table'!C108</f>
        <v>12.813000000000001</v>
      </c>
      <c r="C107" s="7">
        <f t="shared" si="9"/>
        <v>1.0595728616114766</v>
      </c>
      <c r="D107" s="19">
        <f t="shared" si="10"/>
        <v>0.46068385287455504</v>
      </c>
      <c r="E107" s="20">
        <f t="shared" si="11"/>
        <v>471</v>
      </c>
      <c r="F107" s="6"/>
    </row>
    <row r="108" spans="1:6">
      <c r="A108" s="17">
        <f>'R-T Table'!A109</f>
        <v>60</v>
      </c>
      <c r="B108" s="18">
        <f>'R-T Table'!C109</f>
        <v>12.355</v>
      </c>
      <c r="C108" s="7">
        <f t="shared" si="9"/>
        <v>1.0388046061049168</v>
      </c>
      <c r="D108" s="19">
        <f t="shared" si="10"/>
        <v>0.45165417656735513</v>
      </c>
      <c r="E108" s="20">
        <f t="shared" si="11"/>
        <v>462</v>
      </c>
      <c r="F108" s="6"/>
    </row>
    <row r="109" spans="1:6">
      <c r="A109" s="17">
        <f>'R-T Table'!A110</f>
        <v>61</v>
      </c>
      <c r="B109" s="18">
        <f>'R-T Table'!C110</f>
        <v>11.914999999999999</v>
      </c>
      <c r="C109" s="7">
        <f t="shared" si="9"/>
        <v>1.0181868846368194</v>
      </c>
      <c r="D109" s="19">
        <f t="shared" si="10"/>
        <v>0.44268994984209542</v>
      </c>
      <c r="E109" s="20">
        <f t="shared" si="11"/>
        <v>453</v>
      </c>
      <c r="F109" s="6"/>
    </row>
    <row r="110" spans="1:6">
      <c r="A110" s="17">
        <f>'R-T Table'!A111</f>
        <v>62</v>
      </c>
      <c r="B110" s="18">
        <f>'R-T Table'!C111</f>
        <v>11.493</v>
      </c>
      <c r="C110" s="7">
        <f t="shared" si="9"/>
        <v>0.99776922205865681</v>
      </c>
      <c r="D110" s="19">
        <f t="shared" si="10"/>
        <v>0.43381270524289428</v>
      </c>
      <c r="E110" s="20">
        <f t="shared" si="11"/>
        <v>444</v>
      </c>
      <c r="F110" s="6"/>
    </row>
    <row r="111" spans="1:6">
      <c r="A111" s="17">
        <f>'R-T Table'!A112</f>
        <v>63</v>
      </c>
      <c r="B111" s="18">
        <f>'R-T Table'!C112</f>
        <v>11.087999999999999</v>
      </c>
      <c r="C111" s="7">
        <f t="shared" si="9"/>
        <v>0.97755289788408439</v>
      </c>
      <c r="D111" s="19">
        <f t="shared" si="10"/>
        <v>0.42502299908003671</v>
      </c>
      <c r="E111" s="20">
        <f t="shared" si="11"/>
        <v>435</v>
      </c>
      <c r="F111" s="6"/>
    </row>
    <row r="112" spans="1:6">
      <c r="A112" s="17">
        <f>'R-T Table'!A113</f>
        <v>64</v>
      </c>
      <c r="B112" s="18">
        <f>'R-T Table'!C113</f>
        <v>10.7</v>
      </c>
      <c r="C112" s="7">
        <f t="shared" si="9"/>
        <v>0.95758754863813211</v>
      </c>
      <c r="D112" s="19">
        <f t="shared" si="10"/>
        <v>0.41634241245136183</v>
      </c>
      <c r="E112" s="20">
        <f t="shared" si="11"/>
        <v>426</v>
      </c>
      <c r="F112" s="6"/>
    </row>
    <row r="113" spans="1:6">
      <c r="A113" s="17">
        <f>'R-T Table'!A114</f>
        <v>65</v>
      </c>
      <c r="B113" s="18">
        <f>'R-T Table'!C114</f>
        <v>10.327</v>
      </c>
      <c r="C113" s="7">
        <f t="shared" si="9"/>
        <v>0.93781734907411063</v>
      </c>
      <c r="D113" s="19">
        <f t="shared" si="10"/>
        <v>0.40774667351048294</v>
      </c>
      <c r="E113" s="20">
        <f t="shared" si="11"/>
        <v>417</v>
      </c>
      <c r="F113" s="6"/>
    </row>
    <row r="114" spans="1:6">
      <c r="A114" s="17">
        <f>'R-T Table'!A115</f>
        <v>66</v>
      </c>
      <c r="B114" s="18">
        <f>'R-T Table'!C115</f>
        <v>9.968</v>
      </c>
      <c r="C114" s="7">
        <f t="shared" si="9"/>
        <v>0.91823133611022101</v>
      </c>
      <c r="D114" s="19">
        <f t="shared" si="10"/>
        <v>0.39923101570009611</v>
      </c>
      <c r="E114" s="20">
        <f t="shared" si="11"/>
        <v>408</v>
      </c>
      <c r="F114" s="6"/>
    </row>
    <row r="115" spans="1:6">
      <c r="A115" s="17">
        <f>'R-T Table'!A116</f>
        <v>67</v>
      </c>
      <c r="B115" s="18">
        <f>'R-T Table'!C116</f>
        <v>9.6240000000000006</v>
      </c>
      <c r="C115" s="7">
        <f t="shared" si="9"/>
        <v>0.89892787524366469</v>
      </c>
      <c r="D115" s="19">
        <f t="shared" si="10"/>
        <v>0.39083820662768032</v>
      </c>
      <c r="E115" s="20">
        <f t="shared" si="11"/>
        <v>400</v>
      </c>
      <c r="F115" s="6"/>
    </row>
    <row r="116" spans="1:6">
      <c r="A116" s="17">
        <f>'R-T Table'!A117</f>
        <v>68</v>
      </c>
      <c r="B116" s="18">
        <f>'R-T Table'!C117</f>
        <v>9.2940000000000005</v>
      </c>
      <c r="C116" s="7">
        <f t="shared" si="9"/>
        <v>0.87989627068411957</v>
      </c>
      <c r="D116" s="19">
        <f t="shared" si="10"/>
        <v>0.38256359594961725</v>
      </c>
      <c r="E116" s="20">
        <f t="shared" si="11"/>
        <v>391</v>
      </c>
      <c r="F116" s="6"/>
    </row>
    <row r="117" spans="1:6">
      <c r="A117" s="17">
        <f>'R-T Table'!A118</f>
        <v>69</v>
      </c>
      <c r="B117" s="18">
        <f>'R-T Table'!C118</f>
        <v>8.9760000000000009</v>
      </c>
      <c r="C117" s="7">
        <f t="shared" si="9"/>
        <v>0.86106106106106106</v>
      </c>
      <c r="D117" s="19">
        <f t="shared" si="10"/>
        <v>0.37437437437437443</v>
      </c>
      <c r="E117" s="20">
        <f t="shared" si="11"/>
        <v>383</v>
      </c>
      <c r="F117" s="6"/>
    </row>
    <row r="118" spans="1:6">
      <c r="A118" s="17">
        <f>'R-T Table'!A119</f>
        <v>70</v>
      </c>
      <c r="B118" s="18">
        <f>'R-T Table'!C119</f>
        <v>8.6709999999999994</v>
      </c>
      <c r="C118" s="7">
        <f t="shared" si="9"/>
        <v>0.84252038359173664</v>
      </c>
      <c r="D118" s="19">
        <f t="shared" si="10"/>
        <v>0.36631321025727681</v>
      </c>
      <c r="E118" s="20">
        <f t="shared" si="11"/>
        <v>375</v>
      </c>
      <c r="F118" s="6"/>
    </row>
    <row r="119" spans="1:6">
      <c r="A119" s="17">
        <f>'R-T Table'!A120</f>
        <v>71</v>
      </c>
      <c r="B119" s="18">
        <f>'R-T Table'!C120</f>
        <v>8.3780000000000001</v>
      </c>
      <c r="C119" s="7">
        <f t="shared" si="9"/>
        <v>0.82425357173410885</v>
      </c>
      <c r="D119" s="19">
        <f t="shared" si="10"/>
        <v>0.35837111814526473</v>
      </c>
      <c r="E119" s="20">
        <f t="shared" si="11"/>
        <v>367</v>
      </c>
      <c r="F119" s="6"/>
    </row>
    <row r="120" spans="1:6">
      <c r="A120" s="17">
        <f>'R-T Table'!A121</f>
        <v>72</v>
      </c>
      <c r="B120" s="18">
        <f>'R-T Table'!C121</f>
        <v>8.0960000000000001</v>
      </c>
      <c r="C120" s="7">
        <f t="shared" si="9"/>
        <v>0.80623484586075511</v>
      </c>
      <c r="D120" s="19">
        <f t="shared" si="10"/>
        <v>0.35053688950467615</v>
      </c>
      <c r="E120" s="20">
        <f t="shared" si="11"/>
        <v>359</v>
      </c>
      <c r="F120" s="6"/>
    </row>
    <row r="121" spans="1:6">
      <c r="A121" s="17">
        <f>'R-T Table'!A122</f>
        <v>73</v>
      </c>
      <c r="B121" s="18">
        <f>'R-T Table'!C122</f>
        <v>7.8250000000000002</v>
      </c>
      <c r="C121" s="7">
        <f t="shared" si="9"/>
        <v>0.78849945235487406</v>
      </c>
      <c r="D121" s="19">
        <f t="shared" si="10"/>
        <v>0.34282584884994527</v>
      </c>
      <c r="E121" s="20">
        <f t="shared" si="11"/>
        <v>351</v>
      </c>
      <c r="F121" s="6"/>
    </row>
    <row r="122" spans="1:6">
      <c r="A122" s="17">
        <f>'R-T Table'!A123</f>
        <v>74</v>
      </c>
      <c r="B122" s="18">
        <f>'R-T Table'!C123</f>
        <v>7.5640000000000001</v>
      </c>
      <c r="C122" s="7">
        <f t="shared" si="9"/>
        <v>0.77101577734444238</v>
      </c>
      <c r="D122" s="19">
        <f t="shared" si="10"/>
        <v>0.33522425101932279</v>
      </c>
      <c r="E122" s="20">
        <f t="shared" si="11"/>
        <v>343</v>
      </c>
      <c r="F122" s="6"/>
    </row>
    <row r="123" spans="1:6">
      <c r="A123" s="17">
        <f>'R-T Table'!A124</f>
        <v>75</v>
      </c>
      <c r="B123" s="18">
        <f>'R-T Table'!C124</f>
        <v>7.3129999999999997</v>
      </c>
      <c r="C123" s="7">
        <f t="shared" si="9"/>
        <v>0.75381616098238691</v>
      </c>
      <c r="D123" s="19">
        <f t="shared" si="10"/>
        <v>0.32774615694886389</v>
      </c>
      <c r="E123" s="20">
        <f t="shared" si="11"/>
        <v>335</v>
      </c>
      <c r="F123" s="6"/>
    </row>
    <row r="124" spans="1:6">
      <c r="A124" s="17">
        <f>'R-T Table'!A125</f>
        <v>76</v>
      </c>
      <c r="B124" s="18">
        <f>'R-T Table'!C125</f>
        <v>7.0720000000000001</v>
      </c>
      <c r="C124" s="7">
        <f t="shared" si="9"/>
        <v>0.73693367162015222</v>
      </c>
      <c r="D124" s="19">
        <f t="shared" si="10"/>
        <v>0.32040594418267493</v>
      </c>
      <c r="E124" s="20">
        <f t="shared" si="11"/>
        <v>328</v>
      </c>
      <c r="F124" s="6"/>
    </row>
    <row r="125" spans="1:6">
      <c r="A125" s="17">
        <f>'R-T Table'!A126</f>
        <v>77</v>
      </c>
      <c r="B125" s="18">
        <f>'R-T Table'!C126</f>
        <v>6.84</v>
      </c>
      <c r="C125" s="7">
        <f t="shared" si="9"/>
        <v>0.72032967032967032</v>
      </c>
      <c r="D125" s="19">
        <f t="shared" si="10"/>
        <v>0.31318681318681318</v>
      </c>
      <c r="E125" s="20">
        <f t="shared" si="11"/>
        <v>320</v>
      </c>
      <c r="F125" s="6"/>
    </row>
    <row r="126" spans="1:6">
      <c r="A126" s="17">
        <f>'R-T Table'!A127</f>
        <v>78</v>
      </c>
      <c r="B126" s="18">
        <f>'R-T Table'!C127</f>
        <v>6.6159999999999997</v>
      </c>
      <c r="C126" s="7">
        <f t="shared" si="9"/>
        <v>0.70396002960769788</v>
      </c>
      <c r="D126" s="19">
        <f t="shared" si="10"/>
        <v>0.30606957809030344</v>
      </c>
      <c r="E126" s="20">
        <f t="shared" si="11"/>
        <v>313</v>
      </c>
      <c r="F126" s="6"/>
    </row>
    <row r="127" spans="1:6">
      <c r="A127" s="17">
        <f>'R-T Table'!A128</f>
        <v>79</v>
      </c>
      <c r="B127" s="18">
        <f>'R-T Table'!C128</f>
        <v>6.4009999999999998</v>
      </c>
      <c r="C127" s="7">
        <f t="shared" si="9"/>
        <v>0.68792579785991304</v>
      </c>
      <c r="D127" s="19">
        <f t="shared" si="10"/>
        <v>0.29909817298257091</v>
      </c>
      <c r="E127" s="20">
        <f t="shared" si="11"/>
        <v>306</v>
      </c>
      <c r="F127" s="6"/>
    </row>
    <row r="128" spans="1:6">
      <c r="A128" s="17">
        <f>'R-T Table'!A129</f>
        <v>80</v>
      </c>
      <c r="B128" s="18">
        <f>'R-T Table'!C129</f>
        <v>6.194</v>
      </c>
      <c r="C128" s="7">
        <f t="shared" si="9"/>
        <v>0.67218080588845897</v>
      </c>
      <c r="D128" s="19">
        <f t="shared" si="10"/>
        <v>0.29225252429933002</v>
      </c>
      <c r="E128" s="20">
        <f t="shared" si="11"/>
        <v>299</v>
      </c>
      <c r="F128" s="6"/>
    </row>
    <row r="129" spans="1:6">
      <c r="A129" s="17">
        <f>'R-T Table'!A130</f>
        <v>81</v>
      </c>
      <c r="B129" s="18">
        <f>'R-T Table'!C130</f>
        <v>5.9950000000000001</v>
      </c>
      <c r="C129" s="7">
        <f t="shared" si="9"/>
        <v>0.65675160752560124</v>
      </c>
      <c r="D129" s="19">
        <f t="shared" si="10"/>
        <v>0.28554417718504405</v>
      </c>
      <c r="E129" s="20">
        <f t="shared" si="11"/>
        <v>292</v>
      </c>
      <c r="F129" s="6"/>
    </row>
    <row r="130" spans="1:6">
      <c r="A130" s="17">
        <f>'R-T Table'!A131</f>
        <v>82</v>
      </c>
      <c r="B130" s="18">
        <f>'R-T Table'!C131</f>
        <v>5.8029999999999999</v>
      </c>
      <c r="C130" s="7">
        <f t="shared" si="9"/>
        <v>0.64158534826707669</v>
      </c>
      <c r="D130" s="19">
        <f t="shared" si="10"/>
        <v>0.27895015142046814</v>
      </c>
      <c r="E130" s="20">
        <f t="shared" si="11"/>
        <v>285</v>
      </c>
      <c r="F130" s="6"/>
    </row>
    <row r="131" spans="1:6">
      <c r="A131" s="17">
        <f>'R-T Table'!A132</f>
        <v>83</v>
      </c>
      <c r="B131" s="18">
        <f>'R-T Table'!C132</f>
        <v>5.6180000000000003</v>
      </c>
      <c r="C131" s="7">
        <f t="shared" si="9"/>
        <v>0.62670482103016778</v>
      </c>
      <c r="D131" s="19">
        <f t="shared" si="10"/>
        <v>0.27248035696963818</v>
      </c>
      <c r="E131" s="20">
        <f t="shared" si="11"/>
        <v>279</v>
      </c>
      <c r="F131" s="6"/>
    </row>
    <row r="132" spans="1:6">
      <c r="A132" s="17">
        <f>'R-T Table'!A133</f>
        <v>84</v>
      </c>
      <c r="B132" s="18">
        <f>'R-T Table'!C133</f>
        <v>5.44</v>
      </c>
      <c r="C132" s="7">
        <f t="shared" si="9"/>
        <v>0.61213307240704495</v>
      </c>
      <c r="D132" s="19">
        <f t="shared" si="10"/>
        <v>0.26614481409001955</v>
      </c>
      <c r="E132" s="20">
        <f t="shared" si="11"/>
        <v>272</v>
      </c>
      <c r="F132" s="6"/>
    </row>
    <row r="133" spans="1:6">
      <c r="A133" s="17">
        <f>'R-T Table'!A134</f>
        <v>85</v>
      </c>
      <c r="B133" s="18">
        <f>'R-T Table'!C134</f>
        <v>5.2679999999999998</v>
      </c>
      <c r="C133" s="7">
        <f t="shared" si="9"/>
        <v>0.59780935464772045</v>
      </c>
      <c r="D133" s="19">
        <f t="shared" si="10"/>
        <v>0.25991711071640022</v>
      </c>
      <c r="E133" s="20">
        <f t="shared" si="11"/>
        <v>266</v>
      </c>
      <c r="F133" s="6"/>
    </row>
    <row r="134" spans="1:6">
      <c r="A134" s="17">
        <f>'R-T Table'!A135</f>
        <v>86</v>
      </c>
      <c r="B134" s="18">
        <f>'R-T Table'!C135</f>
        <v>5.1020000000000003</v>
      </c>
      <c r="C134" s="7">
        <f t="shared" si="9"/>
        <v>0.58375286041189933</v>
      </c>
      <c r="D134" s="19">
        <f t="shared" si="10"/>
        <v>0.25380559148343451</v>
      </c>
      <c r="E134" s="20">
        <f t="shared" si="11"/>
        <v>260</v>
      </c>
      <c r="F134" s="6"/>
    </row>
    <row r="135" spans="1:6">
      <c r="A135" s="17">
        <f>'R-T Table'!A136</f>
        <v>87</v>
      </c>
      <c r="B135" s="18">
        <f>'R-T Table'!C136</f>
        <v>4.9429999999999996</v>
      </c>
      <c r="C135" s="7">
        <f t="shared" si="9"/>
        <v>0.57006969864112722</v>
      </c>
      <c r="D135" s="19">
        <f t="shared" si="10"/>
        <v>0.2478563907135336</v>
      </c>
      <c r="E135" s="20">
        <f t="shared" si="11"/>
        <v>254</v>
      </c>
      <c r="F135" s="6"/>
    </row>
    <row r="136" spans="1:6">
      <c r="A136" s="17">
        <f>'R-T Table'!A137</f>
        <v>88</v>
      </c>
      <c r="B136" s="18">
        <f>'R-T Table'!C137</f>
        <v>4.7889999999999997</v>
      </c>
      <c r="C136" s="7">
        <f t="shared" ref="C136:C167" si="12">$B$2*B136/($B$3+B136)</f>
        <v>0.5566072060235483</v>
      </c>
      <c r="D136" s="19">
        <f t="shared" ref="D136:D167" si="13">C136/$B$2</f>
        <v>0.24200313305371668</v>
      </c>
      <c r="E136" s="20">
        <f t="shared" ref="E136:E167" si="14">ROUND(D136*(2^$B$4-1),0)</f>
        <v>248</v>
      </c>
      <c r="F136" s="6"/>
    </row>
    <row r="137" spans="1:6">
      <c r="A137" s="17">
        <f>'R-T Table'!A138</f>
        <v>89</v>
      </c>
      <c r="B137" s="18">
        <f>'R-T Table'!C138</f>
        <v>4.641</v>
      </c>
      <c r="C137" s="7">
        <f t="shared" si="12"/>
        <v>0.54347029173667327</v>
      </c>
      <c r="D137" s="19">
        <f t="shared" si="13"/>
        <v>0.23629143118985796</v>
      </c>
      <c r="E137" s="20">
        <f t="shared" si="14"/>
        <v>242</v>
      </c>
      <c r="F137" s="6"/>
    </row>
    <row r="138" spans="1:6">
      <c r="A138" s="17">
        <f>'R-T Table'!A139</f>
        <v>90</v>
      </c>
      <c r="B138" s="18">
        <f>'R-T Table'!C139</f>
        <v>4.4980000000000002</v>
      </c>
      <c r="C138" s="7">
        <f t="shared" si="12"/>
        <v>0.53058775259000923</v>
      </c>
      <c r="D138" s="19">
        <f t="shared" si="13"/>
        <v>0.2306903272130475</v>
      </c>
      <c r="E138" s="20">
        <f t="shared" si="14"/>
        <v>236</v>
      </c>
      <c r="F138" s="6"/>
    </row>
    <row r="139" spans="1:6">
      <c r="A139" s="17">
        <f>'R-T Table'!A140</f>
        <v>91</v>
      </c>
      <c r="B139" s="18">
        <f>'R-T Table'!C140</f>
        <v>4.3600000000000003</v>
      </c>
      <c r="C139" s="7">
        <f t="shared" si="12"/>
        <v>0.51797520661157026</v>
      </c>
      <c r="D139" s="19">
        <f t="shared" si="13"/>
        <v>0.22520661157024796</v>
      </c>
      <c r="E139" s="20">
        <f t="shared" si="14"/>
        <v>230</v>
      </c>
      <c r="F139" s="6"/>
    </row>
    <row r="140" spans="1:6">
      <c r="A140" s="17">
        <f>'R-T Table'!A141</f>
        <v>92</v>
      </c>
      <c r="B140" s="18">
        <f>'R-T Table'!C141</f>
        <v>4.2270000000000003</v>
      </c>
      <c r="C140" s="7">
        <f t="shared" si="12"/>
        <v>0.50564830706818531</v>
      </c>
      <c r="D140" s="19">
        <f t="shared" si="13"/>
        <v>0.21984709002964581</v>
      </c>
      <c r="E140" s="20">
        <f t="shared" si="14"/>
        <v>225</v>
      </c>
      <c r="F140" s="6"/>
    </row>
    <row r="141" spans="1:6">
      <c r="A141" s="17">
        <f>'R-T Table'!A142</f>
        <v>93</v>
      </c>
      <c r="B141" s="18">
        <f>'R-T Table'!C142</f>
        <v>4.0979999999999999</v>
      </c>
      <c r="C141" s="7">
        <f t="shared" si="12"/>
        <v>0.49352811812755265</v>
      </c>
      <c r="D141" s="19">
        <f t="shared" si="13"/>
        <v>0.21457744266415335</v>
      </c>
      <c r="E141" s="20">
        <f t="shared" si="14"/>
        <v>220</v>
      </c>
      <c r="F141" s="6"/>
    </row>
    <row r="142" spans="1:6">
      <c r="A142" s="17">
        <f>'R-T Table'!A143</f>
        <v>94</v>
      </c>
      <c r="B142" s="18">
        <f>'R-T Table'!C143</f>
        <v>3.9740000000000002</v>
      </c>
      <c r="C142" s="7">
        <f t="shared" si="12"/>
        <v>0.48172235690945503</v>
      </c>
      <c r="D142" s="19">
        <f t="shared" si="13"/>
        <v>0.20944450300411091</v>
      </c>
      <c r="E142" s="20">
        <f t="shared" si="14"/>
        <v>214</v>
      </c>
      <c r="F142" s="6"/>
    </row>
    <row r="143" spans="1:6">
      <c r="A143" s="17">
        <f>'R-T Table'!A144</f>
        <v>95</v>
      </c>
      <c r="B143" s="18">
        <f>'R-T Table'!C144</f>
        <v>3.855</v>
      </c>
      <c r="C143" s="7">
        <f t="shared" si="12"/>
        <v>0.47024661893396968</v>
      </c>
      <c r="D143" s="19">
        <f t="shared" si="13"/>
        <v>0.20445505171042161</v>
      </c>
      <c r="E143" s="20">
        <f t="shared" si="14"/>
        <v>209</v>
      </c>
      <c r="F143" s="6"/>
    </row>
    <row r="144" spans="1:6">
      <c r="A144" s="17">
        <f>'R-T Table'!A145</f>
        <v>96</v>
      </c>
      <c r="B144" s="18">
        <f>'R-T Table'!C145</f>
        <v>3.7389999999999999</v>
      </c>
      <c r="C144" s="7">
        <f t="shared" si="12"/>
        <v>0.45891989967447561</v>
      </c>
      <c r="D144" s="19">
        <f t="shared" si="13"/>
        <v>0.19953039116281548</v>
      </c>
      <c r="E144" s="20">
        <f t="shared" si="14"/>
        <v>204</v>
      </c>
      <c r="F144" s="6"/>
    </row>
    <row r="145" spans="1:6">
      <c r="A145" s="17">
        <f>'R-T Table'!A146</f>
        <v>97</v>
      </c>
      <c r="B145" s="18">
        <f>'R-T Table'!C146</f>
        <v>3.6280000000000001</v>
      </c>
      <c r="C145" s="7">
        <f t="shared" si="12"/>
        <v>0.4479493235988834</v>
      </c>
      <c r="D145" s="19">
        <f t="shared" si="13"/>
        <v>0.19476057547777539</v>
      </c>
      <c r="E145" s="20">
        <f t="shared" si="14"/>
        <v>199</v>
      </c>
      <c r="F145" s="6"/>
    </row>
    <row r="146" spans="1:6">
      <c r="A146" s="17">
        <f>'R-T Table'!A147</f>
        <v>98</v>
      </c>
      <c r="B146" s="18">
        <f>'R-T Table'!C147</f>
        <v>3.52</v>
      </c>
      <c r="C146" s="7">
        <f t="shared" si="12"/>
        <v>0.4371490280777538</v>
      </c>
      <c r="D146" s="19">
        <f t="shared" si="13"/>
        <v>0.19006479481641472</v>
      </c>
      <c r="E146" s="20">
        <f t="shared" si="14"/>
        <v>194</v>
      </c>
      <c r="F146" s="6"/>
    </row>
    <row r="147" spans="1:6">
      <c r="A147" s="17">
        <f>'R-T Table'!A148</f>
        <v>99</v>
      </c>
      <c r="B147" s="18">
        <f>'R-T Table'!C148</f>
        <v>3.4159999999999999</v>
      </c>
      <c r="C147" s="7">
        <f t="shared" si="12"/>
        <v>0.42662901824500427</v>
      </c>
      <c r="D147" s="19">
        <f t="shared" si="13"/>
        <v>0.18549087749782794</v>
      </c>
      <c r="E147" s="20">
        <f t="shared" si="14"/>
        <v>190</v>
      </c>
      <c r="F147" s="6"/>
    </row>
    <row r="148" spans="1:6">
      <c r="A148" s="17">
        <f>'R-T Table'!A149</f>
        <v>100</v>
      </c>
      <c r="B148" s="18">
        <f>'R-T Table'!C149</f>
        <v>3.3159999999999998</v>
      </c>
      <c r="C148" s="7">
        <f t="shared" si="12"/>
        <v>0.41640096090849532</v>
      </c>
      <c r="D148" s="19">
        <f t="shared" si="13"/>
        <v>0.18104389604717189</v>
      </c>
      <c r="E148" s="20">
        <f t="shared" si="14"/>
        <v>185</v>
      </c>
      <c r="F148" s="6"/>
    </row>
    <row r="149" spans="1:6">
      <c r="A149" s="17">
        <f>'R-T Table'!A150</f>
        <v>101</v>
      </c>
      <c r="B149" s="18">
        <f>'R-T Table'!C150</f>
        <v>3.2189999999999999</v>
      </c>
      <c r="C149" s="7">
        <f t="shared" si="12"/>
        <v>0.40637246830232165</v>
      </c>
      <c r="D149" s="19">
        <f t="shared" si="13"/>
        <v>0.17668368187057465</v>
      </c>
      <c r="E149" s="20">
        <f t="shared" si="14"/>
        <v>181</v>
      </c>
      <c r="F149" s="6"/>
    </row>
    <row r="150" spans="1:6">
      <c r="A150" s="17">
        <f>'R-T Table'!A151</f>
        <v>102</v>
      </c>
      <c r="B150" s="18">
        <f>'R-T Table'!C151</f>
        <v>3.125</v>
      </c>
      <c r="C150" s="7">
        <f t="shared" si="12"/>
        <v>0.39655172413793099</v>
      </c>
      <c r="D150" s="19">
        <f t="shared" si="13"/>
        <v>0.17241379310344826</v>
      </c>
      <c r="E150" s="20">
        <f t="shared" si="14"/>
        <v>176</v>
      </c>
      <c r="F150" s="6"/>
    </row>
    <row r="151" spans="1:6">
      <c r="A151" s="17">
        <f>'R-T Table'!A152</f>
        <v>103</v>
      </c>
      <c r="B151" s="18">
        <f>'R-T Table'!C152</f>
        <v>3.0339999999999998</v>
      </c>
      <c r="C151" s="7">
        <f t="shared" si="12"/>
        <v>0.38694687811910833</v>
      </c>
      <c r="D151" s="19">
        <f t="shared" si="13"/>
        <v>0.1682377730952645</v>
      </c>
      <c r="E151" s="20">
        <f t="shared" si="14"/>
        <v>172</v>
      </c>
      <c r="F151" s="6"/>
    </row>
    <row r="152" spans="1:6">
      <c r="A152" s="17">
        <f>'R-T Table'!A153</f>
        <v>104</v>
      </c>
      <c r="B152" s="18">
        <f>'R-T Table'!C153</f>
        <v>2.9470000000000001</v>
      </c>
      <c r="C152" s="7">
        <f t="shared" si="12"/>
        <v>0.37767314871566277</v>
      </c>
      <c r="D152" s="19">
        <f t="shared" si="13"/>
        <v>0.16420571683289686</v>
      </c>
      <c r="E152" s="20">
        <f t="shared" si="14"/>
        <v>168</v>
      </c>
      <c r="F152" s="6"/>
    </row>
    <row r="153" spans="1:6">
      <c r="A153" s="17">
        <f>'R-T Table'!A154</f>
        <v>105</v>
      </c>
      <c r="B153" s="18">
        <f>'R-T Table'!C154</f>
        <v>2.8620000000000001</v>
      </c>
      <c r="C153" s="7">
        <f t="shared" si="12"/>
        <v>0.36852536110178025</v>
      </c>
      <c r="D153" s="19">
        <f t="shared" si="13"/>
        <v>0.16022841787033926</v>
      </c>
      <c r="E153" s="20">
        <f t="shared" si="14"/>
        <v>164</v>
      </c>
      <c r="F153" s="6"/>
    </row>
    <row r="154" spans="1:6">
      <c r="A154" s="17">
        <f>'R-T Table'!A155</f>
        <v>106</v>
      </c>
      <c r="B154" s="18">
        <f>'R-T Table'!C155</f>
        <v>2.78</v>
      </c>
      <c r="C154" s="7">
        <f t="shared" si="12"/>
        <v>0.35961754780652411</v>
      </c>
      <c r="D154" s="19">
        <f t="shared" si="13"/>
        <v>0.15635545556805397</v>
      </c>
      <c r="E154" s="20">
        <f t="shared" si="14"/>
        <v>160</v>
      </c>
      <c r="F154" s="6"/>
    </row>
    <row r="155" spans="1:6">
      <c r="A155" s="17">
        <f>'R-T Table'!A156</f>
        <v>107</v>
      </c>
      <c r="B155" s="18">
        <f>'R-T Table'!C156</f>
        <v>2.7010000000000001</v>
      </c>
      <c r="C155" s="7">
        <f t="shared" si="12"/>
        <v>0.35095757301847352</v>
      </c>
      <c r="D155" s="19">
        <f t="shared" si="13"/>
        <v>0.15259024913846675</v>
      </c>
      <c r="E155" s="20">
        <f t="shared" si="14"/>
        <v>156</v>
      </c>
      <c r="F155" s="6"/>
    </row>
    <row r="156" spans="1:6">
      <c r="A156" s="17">
        <f>'R-T Table'!A157</f>
        <v>108</v>
      </c>
      <c r="B156" s="18">
        <f>'R-T Table'!C157</f>
        <v>2.6240000000000001</v>
      </c>
      <c r="C156" s="7">
        <f t="shared" si="12"/>
        <v>0.34244212437585114</v>
      </c>
      <c r="D156" s="19">
        <f t="shared" si="13"/>
        <v>0.14888788016341356</v>
      </c>
      <c r="E156" s="20">
        <f t="shared" si="14"/>
        <v>152</v>
      </c>
      <c r="F156" s="6"/>
    </row>
    <row r="157" spans="1:6">
      <c r="A157" s="17">
        <f>'R-T Table'!A158</f>
        <v>109</v>
      </c>
      <c r="B157" s="18">
        <f>'R-T Table'!C158</f>
        <v>2.5499999999999998</v>
      </c>
      <c r="C157" s="7">
        <f t="shared" si="12"/>
        <v>0.33418803418803411</v>
      </c>
      <c r="D157" s="19">
        <f t="shared" si="13"/>
        <v>0.14529914529914528</v>
      </c>
      <c r="E157" s="20">
        <f t="shared" si="14"/>
        <v>149</v>
      </c>
      <c r="F157" s="6"/>
    </row>
    <row r="158" spans="1:6">
      <c r="A158" s="17">
        <f>'R-T Table'!A159</f>
        <v>110</v>
      </c>
      <c r="B158" s="18">
        <f>'R-T Table'!C159</f>
        <v>2.4790000000000001</v>
      </c>
      <c r="C158" s="7">
        <f t="shared" si="12"/>
        <v>0.32620287201784998</v>
      </c>
      <c r="D158" s="19">
        <f t="shared" si="13"/>
        <v>0.14182733565993477</v>
      </c>
      <c r="E158" s="20">
        <f t="shared" si="14"/>
        <v>145</v>
      </c>
      <c r="F158" s="6"/>
    </row>
    <row r="159" spans="1:6">
      <c r="A159" s="17">
        <f>'R-T Table'!A160</f>
        <v>111</v>
      </c>
      <c r="B159" s="18">
        <f>'R-T Table'!C160</f>
        <v>2.4089999999999998</v>
      </c>
      <c r="C159" s="7">
        <f t="shared" si="12"/>
        <v>0.31826641392383248</v>
      </c>
      <c r="D159" s="19">
        <f t="shared" si="13"/>
        <v>0.13837670170601413</v>
      </c>
      <c r="E159" s="20">
        <f t="shared" si="14"/>
        <v>142</v>
      </c>
      <c r="F159" s="6"/>
    </row>
    <row r="160" spans="1:6">
      <c r="A160" s="17">
        <f>'R-T Table'!A161</f>
        <v>112</v>
      </c>
      <c r="B160" s="18">
        <f>'R-T Table'!C161</f>
        <v>2.3420000000000001</v>
      </c>
      <c r="C160" s="7">
        <f t="shared" si="12"/>
        <v>0.31061007957559683</v>
      </c>
      <c r="D160" s="19">
        <f t="shared" si="13"/>
        <v>0.1350478606850421</v>
      </c>
      <c r="E160" s="20">
        <f t="shared" si="14"/>
        <v>138</v>
      </c>
      <c r="F160" s="6"/>
    </row>
    <row r="161" spans="1:6">
      <c r="A161" s="17">
        <f>'R-T Table'!A162</f>
        <v>113</v>
      </c>
      <c r="B161" s="18">
        <f>'R-T Table'!C162</f>
        <v>2.2770000000000001</v>
      </c>
      <c r="C161" s="7">
        <f t="shared" si="12"/>
        <v>0.3031255426289286</v>
      </c>
      <c r="D161" s="19">
        <f t="shared" si="13"/>
        <v>0.13179371418649072</v>
      </c>
      <c r="E161" s="20">
        <f t="shared" si="14"/>
        <v>135</v>
      </c>
      <c r="F161" s="6"/>
    </row>
    <row r="162" spans="1:6">
      <c r="A162" s="17">
        <f>'R-T Table'!A163</f>
        <v>114</v>
      </c>
      <c r="B162" s="18">
        <f>'R-T Table'!C163</f>
        <v>2.2149999999999999</v>
      </c>
      <c r="C162" s="7">
        <f t="shared" si="12"/>
        <v>0.29593377868138249</v>
      </c>
      <c r="D162" s="19">
        <f t="shared" si="13"/>
        <v>0.12866686029625327</v>
      </c>
      <c r="E162" s="20">
        <f t="shared" si="14"/>
        <v>132</v>
      </c>
      <c r="F162" s="6"/>
    </row>
    <row r="163" spans="1:6">
      <c r="A163" s="17">
        <f>'R-T Table'!A164</f>
        <v>115</v>
      </c>
      <c r="B163" s="18">
        <f>'R-T Table'!C164</f>
        <v>2.1539999999999999</v>
      </c>
      <c r="C163" s="7">
        <f t="shared" si="12"/>
        <v>0.28880727527107375</v>
      </c>
      <c r="D163" s="19">
        <f t="shared" si="13"/>
        <v>0.12556838055264077</v>
      </c>
      <c r="E163" s="20">
        <f t="shared" si="14"/>
        <v>128</v>
      </c>
      <c r="F163" s="6"/>
    </row>
    <row r="164" spans="1:6">
      <c r="A164" s="17">
        <f>'R-T Table'!A165</f>
        <v>116</v>
      </c>
      <c r="B164" s="18">
        <f>'R-T Table'!C165</f>
        <v>2.0950000000000002</v>
      </c>
      <c r="C164" s="7">
        <f t="shared" si="12"/>
        <v>0.28186604270254462</v>
      </c>
      <c r="D164" s="19">
        <f t="shared" si="13"/>
        <v>0.12255045334893246</v>
      </c>
      <c r="E164" s="20">
        <f t="shared" si="14"/>
        <v>125</v>
      </c>
      <c r="F164" s="6"/>
    </row>
    <row r="165" spans="1:6">
      <c r="A165" s="17">
        <f>'R-T Table'!A166</f>
        <v>117</v>
      </c>
      <c r="B165" s="18">
        <f>'R-T Table'!C166</f>
        <v>2.0379999999999998</v>
      </c>
      <c r="C165" s="7">
        <f t="shared" si="12"/>
        <v>0.27511445005282303</v>
      </c>
      <c r="D165" s="19">
        <f t="shared" si="13"/>
        <v>0.1196149782838361</v>
      </c>
      <c r="E165" s="20">
        <f t="shared" si="14"/>
        <v>122</v>
      </c>
      <c r="F165" s="6"/>
    </row>
    <row r="166" spans="1:6">
      <c r="A166" s="17">
        <f>'R-T Table'!A167</f>
        <v>118</v>
      </c>
      <c r="B166" s="18">
        <f>'R-T Table'!C167</f>
        <v>1.9830000000000001</v>
      </c>
      <c r="C166" s="7">
        <f t="shared" si="12"/>
        <v>0.26855679208620387</v>
      </c>
      <c r="D166" s="19">
        <f t="shared" si="13"/>
        <v>0.1167638226461756</v>
      </c>
      <c r="E166" s="20">
        <f t="shared" si="14"/>
        <v>119</v>
      </c>
      <c r="F166" s="6"/>
    </row>
    <row r="167" spans="1:6">
      <c r="A167" s="17">
        <f>'R-T Table'!A168</f>
        <v>119</v>
      </c>
      <c r="B167" s="18">
        <f>'R-T Table'!C168</f>
        <v>1.929</v>
      </c>
      <c r="C167" s="7">
        <f t="shared" si="12"/>
        <v>0.26207690944533052</v>
      </c>
      <c r="D167" s="19">
        <f t="shared" si="13"/>
        <v>0.11394648236753502</v>
      </c>
      <c r="E167" s="20">
        <f t="shared" si="14"/>
        <v>117</v>
      </c>
      <c r="F167" s="6"/>
    </row>
    <row r="168" spans="1:6">
      <c r="A168" s="17">
        <f>'R-T Table'!A169</f>
        <v>120</v>
      </c>
      <c r="B168" s="18">
        <f>'R-T Table'!C169</f>
        <v>1.877</v>
      </c>
      <c r="C168" s="7">
        <f t="shared" ref="C168:C199" si="15">$B$2*B168/($B$3+B168)</f>
        <v>0.25579783136813417</v>
      </c>
      <c r="D168" s="19">
        <f t="shared" ref="D168:D199" si="16">C168/$B$2</f>
        <v>0.11121644842092791</v>
      </c>
      <c r="E168" s="20">
        <f t="shared" ref="E168:E199" si="17">ROUND(D168*(2^$B$4-1),0)</f>
        <v>114</v>
      </c>
      <c r="F168" s="6"/>
    </row>
    <row r="169" spans="1:6">
      <c r="A169" s="17">
        <f>'R-T Table'!A170</f>
        <v>121</v>
      </c>
      <c r="B169" s="18">
        <f>'R-T Table'!C170</f>
        <v>1.827</v>
      </c>
      <c r="C169" s="7">
        <f t="shared" si="15"/>
        <v>0.249723658406133</v>
      </c>
      <c r="D169" s="19">
        <f t="shared" si="16"/>
        <v>0.10857550365484045</v>
      </c>
      <c r="E169" s="20">
        <f t="shared" si="17"/>
        <v>111</v>
      </c>
      <c r="F169" s="6"/>
    </row>
    <row r="170" spans="1:6">
      <c r="A170" s="17">
        <f>'R-T Table'!A171</f>
        <v>122</v>
      </c>
      <c r="B170" s="18">
        <f>'R-T Table'!C171</f>
        <v>1.778</v>
      </c>
      <c r="C170" s="7">
        <f t="shared" si="15"/>
        <v>0.24373584455835021</v>
      </c>
      <c r="D170" s="19">
        <f t="shared" si="16"/>
        <v>0.10597210632971749</v>
      </c>
      <c r="E170" s="20">
        <f t="shared" si="17"/>
        <v>108</v>
      </c>
      <c r="F170" s="6"/>
    </row>
    <row r="171" spans="1:6">
      <c r="A171" s="17">
        <f>'R-T Table'!A172</f>
        <v>123</v>
      </c>
      <c r="B171" s="18">
        <f>'R-T Table'!C172</f>
        <v>1.7310000000000001</v>
      </c>
      <c r="C171" s="7">
        <f t="shared" si="15"/>
        <v>0.23795947642101486</v>
      </c>
      <c r="D171" s="19">
        <f t="shared" si="16"/>
        <v>0.10346064192218038</v>
      </c>
      <c r="E171" s="20">
        <f t="shared" si="17"/>
        <v>106</v>
      </c>
      <c r="F171" s="6"/>
    </row>
    <row r="172" spans="1:6">
      <c r="A172" s="17">
        <f>'R-T Table'!A173</f>
        <v>124</v>
      </c>
      <c r="B172" s="18">
        <f>'R-T Table'!C173</f>
        <v>1.6850000000000001</v>
      </c>
      <c r="C172" s="7">
        <f t="shared" si="15"/>
        <v>0.23227449805214265</v>
      </c>
      <c r="D172" s="19">
        <f t="shared" si="16"/>
        <v>0.10098891219658376</v>
      </c>
      <c r="E172" s="20">
        <f t="shared" si="17"/>
        <v>103</v>
      </c>
      <c r="F172" s="6"/>
    </row>
    <row r="173" spans="1:6">
      <c r="A173" s="17">
        <f>'R-T Table'!A174</f>
        <v>125</v>
      </c>
      <c r="B173" s="18">
        <f>'R-T Table'!C174</f>
        <v>1.641</v>
      </c>
      <c r="C173" s="7">
        <f t="shared" si="15"/>
        <v>0.22680728321615287</v>
      </c>
      <c r="D173" s="19">
        <f t="shared" si="16"/>
        <v>9.8611862267892564E-2</v>
      </c>
      <c r="E173" s="20">
        <f t="shared" si="17"/>
        <v>101</v>
      </c>
      <c r="F173" s="21" t="s">
        <v>26</v>
      </c>
    </row>
    <row r="174" spans="1:6">
      <c r="A174" s="17">
        <f>'R-T Table'!A175</f>
        <v>126</v>
      </c>
      <c r="B174" s="18">
        <f>'R-T Table'!C175</f>
        <v>1.5980000000000001</v>
      </c>
      <c r="C174" s="7">
        <f t="shared" si="15"/>
        <v>0.22143631762862995</v>
      </c>
      <c r="D174" s="19">
        <f t="shared" si="16"/>
        <v>9.627665983853477E-2</v>
      </c>
      <c r="E174" s="20">
        <f t="shared" si="17"/>
        <v>98</v>
      </c>
      <c r="F174" s="6"/>
    </row>
    <row r="175" spans="1:6">
      <c r="A175" s="17">
        <f>'R-T Table'!A176</f>
        <v>127</v>
      </c>
      <c r="B175" s="18">
        <f>'R-T Table'!C176</f>
        <v>1.556</v>
      </c>
      <c r="C175" s="7">
        <f t="shared" si="15"/>
        <v>0.21616332447451073</v>
      </c>
      <c r="D175" s="19">
        <f t="shared" si="16"/>
        <v>9.3984054119352498E-2</v>
      </c>
      <c r="E175" s="20">
        <f t="shared" si="17"/>
        <v>96</v>
      </c>
      <c r="F175" s="6"/>
    </row>
    <row r="176" spans="1:6">
      <c r="A176" s="17">
        <f>'R-T Table'!A177</f>
        <v>128</v>
      </c>
      <c r="B176" s="18">
        <f>'R-T Table'!C177</f>
        <v>1.516</v>
      </c>
      <c r="C176" s="7">
        <f t="shared" si="15"/>
        <v>0.21111649309760233</v>
      </c>
      <c r="D176" s="19">
        <f t="shared" si="16"/>
        <v>9.1789779607653194E-2</v>
      </c>
      <c r="E176" s="20">
        <f t="shared" si="17"/>
        <v>94</v>
      </c>
      <c r="F176" s="6"/>
    </row>
    <row r="177" spans="1:6">
      <c r="A177" s="17">
        <f>'R-T Table'!A178</f>
        <v>129</v>
      </c>
      <c r="B177" s="18">
        <f>'R-T Table'!C178</f>
        <v>1.4770000000000001</v>
      </c>
      <c r="C177" s="7">
        <f t="shared" si="15"/>
        <v>0.2061722400922498</v>
      </c>
      <c r="D177" s="19">
        <f t="shared" si="16"/>
        <v>8.9640104387934696E-2</v>
      </c>
      <c r="E177" s="20">
        <f t="shared" si="17"/>
        <v>92</v>
      </c>
      <c r="F177" s="6"/>
    </row>
    <row r="178" spans="1:6">
      <c r="A178" s="17">
        <f>'R-T Table'!A179</f>
        <v>130</v>
      </c>
      <c r="B178" s="18">
        <f>'R-T Table'!C179</f>
        <v>1.4390000000000001</v>
      </c>
      <c r="C178" s="7">
        <f t="shared" si="15"/>
        <v>0.20133219782225195</v>
      </c>
      <c r="D178" s="19">
        <f t="shared" si="16"/>
        <v>8.7535738183587813E-2</v>
      </c>
      <c r="E178" s="20">
        <f t="shared" si="17"/>
        <v>90</v>
      </c>
      <c r="F178" s="6"/>
    </row>
    <row r="179" spans="1:6">
      <c r="A179" s="17">
        <f>'R-T Table'!A180</f>
        <v>131</v>
      </c>
      <c r="B179" s="18">
        <f>'R-T Table'!C180</f>
        <v>1.4019999999999999</v>
      </c>
      <c r="C179" s="7">
        <f t="shared" si="15"/>
        <v>0.19659797585660282</v>
      </c>
      <c r="D179" s="19">
        <f t="shared" si="16"/>
        <v>8.5477380807218631E-2</v>
      </c>
      <c r="E179" s="20">
        <f t="shared" si="17"/>
        <v>87</v>
      </c>
      <c r="F179" s="6"/>
    </row>
    <row r="180" spans="1:6">
      <c r="A180" s="17">
        <f>'R-T Table'!A181</f>
        <v>132</v>
      </c>
      <c r="B180" s="18">
        <f>'R-T Table'!C181</f>
        <v>1.3660000000000001</v>
      </c>
      <c r="C180" s="7">
        <f t="shared" si="15"/>
        <v>0.19197115972137357</v>
      </c>
      <c r="D180" s="19">
        <f t="shared" si="16"/>
        <v>8.3465721617988514E-2</v>
      </c>
      <c r="E180" s="20">
        <f t="shared" si="17"/>
        <v>85</v>
      </c>
      <c r="F180" s="6"/>
    </row>
    <row r="181" spans="1:6">
      <c r="A181" s="17">
        <f>'R-T Table'!A182</f>
        <v>133</v>
      </c>
      <c r="B181" s="18">
        <f>'R-T Table'!C182</f>
        <v>1.331</v>
      </c>
      <c r="C181" s="7">
        <f t="shared" si="15"/>
        <v>0.18745330965648152</v>
      </c>
      <c r="D181" s="19">
        <f t="shared" si="16"/>
        <v>8.1501438981078922E-2</v>
      </c>
      <c r="E181" s="20">
        <f t="shared" si="17"/>
        <v>83</v>
      </c>
      <c r="F181" s="6"/>
    </row>
    <row r="182" spans="1:6">
      <c r="A182" s="17">
        <f>'R-T Table'!A183</f>
        <v>134</v>
      </c>
      <c r="B182" s="18">
        <f>'R-T Table'!C183</f>
        <v>1.298</v>
      </c>
      <c r="C182" s="7">
        <f t="shared" si="15"/>
        <v>0.18317584979752113</v>
      </c>
      <c r="D182" s="19">
        <f t="shared" si="16"/>
        <v>7.9641673825009196E-2</v>
      </c>
      <c r="E182" s="20">
        <f t="shared" si="17"/>
        <v>81</v>
      </c>
      <c r="F182" s="6"/>
    </row>
    <row r="183" spans="1:6">
      <c r="A183" s="17">
        <f>'R-T Table'!A184</f>
        <v>135</v>
      </c>
      <c r="B183" s="18">
        <f>'R-T Table'!C184</f>
        <v>1.2649999999999999</v>
      </c>
      <c r="C183" s="7">
        <f t="shared" si="15"/>
        <v>0.17888103289271437</v>
      </c>
      <c r="D183" s="19">
        <f t="shared" si="16"/>
        <v>7.7774362127267127E-2</v>
      </c>
      <c r="E183" s="20">
        <f t="shared" si="17"/>
        <v>80</v>
      </c>
      <c r="F183" s="6"/>
    </row>
    <row r="184" spans="1:6">
      <c r="A184" s="17">
        <f>'R-T Table'!A185</f>
        <v>136</v>
      </c>
      <c r="B184" s="18">
        <f>'R-T Table'!C185</f>
        <v>1.2330000000000001</v>
      </c>
      <c r="C184" s="7">
        <f t="shared" si="15"/>
        <v>0.17469968582517095</v>
      </c>
      <c r="D184" s="19">
        <f t="shared" si="16"/>
        <v>7.5956385141378688E-2</v>
      </c>
      <c r="E184" s="20">
        <f t="shared" si="17"/>
        <v>78</v>
      </c>
      <c r="F184" s="6"/>
    </row>
    <row r="185" spans="1:6">
      <c r="A185" s="17">
        <f>'R-T Table'!A186</f>
        <v>137</v>
      </c>
      <c r="B185" s="18">
        <f>'R-T Table'!C186</f>
        <v>1.202</v>
      </c>
      <c r="C185" s="7">
        <f t="shared" si="15"/>
        <v>0.17063325515368474</v>
      </c>
      <c r="D185" s="19">
        <f t="shared" si="16"/>
        <v>7.4188371805949893E-2</v>
      </c>
      <c r="E185" s="20">
        <f t="shared" si="17"/>
        <v>76</v>
      </c>
      <c r="F185" s="6"/>
    </row>
    <row r="186" spans="1:6">
      <c r="A186" s="17">
        <f>'R-T Table'!A187</f>
        <v>138</v>
      </c>
      <c r="B186" s="18">
        <f>'R-T Table'!C187</f>
        <v>1.1719999999999999</v>
      </c>
      <c r="C186" s="7">
        <f t="shared" si="15"/>
        <v>0.16668315607222359</v>
      </c>
      <c r="D186" s="19">
        <f t="shared" si="16"/>
        <v>7.2470937422705911E-2</v>
      </c>
      <c r="E186" s="20">
        <f t="shared" si="17"/>
        <v>74</v>
      </c>
      <c r="F186" s="6"/>
    </row>
    <row r="187" spans="1:6">
      <c r="A187" s="17">
        <f>'R-T Table'!A188</f>
        <v>139</v>
      </c>
      <c r="B187" s="18">
        <f>'R-T Table'!C188</f>
        <v>1.143</v>
      </c>
      <c r="C187" s="7">
        <f t="shared" si="15"/>
        <v>0.16285077123211297</v>
      </c>
      <c r="D187" s="19">
        <f t="shared" si="16"/>
        <v>7.0804683144396946E-2</v>
      </c>
      <c r="E187" s="20">
        <f t="shared" si="17"/>
        <v>72</v>
      </c>
      <c r="F187" s="6"/>
    </row>
    <row r="188" spans="1:6">
      <c r="A188" s="17">
        <f>'R-T Table'!A189</f>
        <v>140</v>
      </c>
      <c r="B188" s="18">
        <f>'R-T Table'!C189</f>
        <v>1.115</v>
      </c>
      <c r="C188" s="7">
        <f t="shared" si="15"/>
        <v>0.1591374495811356</v>
      </c>
      <c r="D188" s="19">
        <f t="shared" si="16"/>
        <v>6.919019547005896E-2</v>
      </c>
      <c r="E188" s="20">
        <f t="shared" si="17"/>
        <v>71</v>
      </c>
      <c r="F188" s="6"/>
    </row>
    <row r="189" spans="1:6">
      <c r="A189" s="17">
        <f>'R-T Table'!A190</f>
        <v>141</v>
      </c>
      <c r="B189" s="18">
        <f>'R-T Table'!C190</f>
        <v>1.0880000000000001</v>
      </c>
      <c r="C189" s="7">
        <f t="shared" si="15"/>
        <v>0.15554450522128294</v>
      </c>
      <c r="D189" s="19">
        <f t="shared" si="16"/>
        <v>6.7628045748383894E-2</v>
      </c>
      <c r="E189" s="20">
        <f t="shared" si="17"/>
        <v>69</v>
      </c>
      <c r="F189" s="6"/>
    </row>
    <row r="190" spans="1:6">
      <c r="A190" s="17">
        <f>'R-T Table'!A191</f>
        <v>142</v>
      </c>
      <c r="B190" s="18">
        <f>'R-T Table'!C191</f>
        <v>1.0609999999999999</v>
      </c>
      <c r="C190" s="7">
        <f t="shared" si="15"/>
        <v>0.15193948072971794</v>
      </c>
      <c r="D190" s="19">
        <f t="shared" si="16"/>
        <v>6.6060643795529547E-2</v>
      </c>
      <c r="E190" s="20">
        <f t="shared" si="17"/>
        <v>68</v>
      </c>
      <c r="F190" s="6"/>
    </row>
    <row r="191" spans="1:6">
      <c r="A191" s="17">
        <f>'R-T Table'!A192</f>
        <v>143</v>
      </c>
      <c r="B191" s="18">
        <f>'R-T Table'!C192</f>
        <v>1.0349999999999999</v>
      </c>
      <c r="C191" s="7">
        <f t="shared" si="15"/>
        <v>0.14845650140318051</v>
      </c>
      <c r="D191" s="19">
        <f t="shared" si="16"/>
        <v>6.4546304957904574E-2</v>
      </c>
      <c r="E191" s="20">
        <f t="shared" si="17"/>
        <v>66</v>
      </c>
      <c r="F191" s="6"/>
    </row>
    <row r="192" spans="1:6">
      <c r="A192" s="17">
        <f>'R-T Table'!A193</f>
        <v>144</v>
      </c>
      <c r="B192" s="18">
        <f>'R-T Table'!C193</f>
        <v>1.01</v>
      </c>
      <c r="C192" s="7">
        <f t="shared" si="15"/>
        <v>0.14509681449094314</v>
      </c>
      <c r="D192" s="19">
        <f t="shared" si="16"/>
        <v>6.3085571517801364E-2</v>
      </c>
      <c r="E192" s="20">
        <f t="shared" si="17"/>
        <v>65</v>
      </c>
      <c r="F192" s="6"/>
    </row>
    <row r="193" spans="1:6">
      <c r="A193" s="17">
        <f>'R-T Table'!A194</f>
        <v>145</v>
      </c>
      <c r="B193" s="18">
        <f>'R-T Table'!C194</f>
        <v>0.98499999999999999</v>
      </c>
      <c r="C193" s="7">
        <f t="shared" si="15"/>
        <v>0.14172661870503597</v>
      </c>
      <c r="D193" s="19">
        <f t="shared" si="16"/>
        <v>6.1620269002189559E-2</v>
      </c>
      <c r="E193" s="20">
        <f t="shared" si="17"/>
        <v>63</v>
      </c>
      <c r="F193" s="6"/>
    </row>
    <row r="194" spans="1:6">
      <c r="A194" s="17">
        <f>'R-T Table'!A195</f>
        <v>146</v>
      </c>
      <c r="B194" s="18">
        <f>'R-T Table'!C195</f>
        <v>0.96199999999999997</v>
      </c>
      <c r="C194" s="7">
        <f t="shared" si="15"/>
        <v>0.13861671469740633</v>
      </c>
      <c r="D194" s="19">
        <f t="shared" si="16"/>
        <v>6.0268136824959281E-2</v>
      </c>
      <c r="E194" s="20">
        <f t="shared" si="17"/>
        <v>62</v>
      </c>
      <c r="F194" s="6"/>
    </row>
    <row r="195" spans="1:6">
      <c r="A195" s="17">
        <f>'R-T Table'!A196</f>
        <v>147</v>
      </c>
      <c r="B195" s="18">
        <f>'R-T Table'!C196</f>
        <v>0.93899999999999995</v>
      </c>
      <c r="C195" s="7">
        <f t="shared" si="15"/>
        <v>0.13549783549783548</v>
      </c>
      <c r="D195" s="19">
        <f t="shared" si="16"/>
        <v>5.8912102390363257E-2</v>
      </c>
      <c r="E195" s="20">
        <f t="shared" si="17"/>
        <v>60</v>
      </c>
      <c r="F195" s="6"/>
    </row>
    <row r="196" spans="1:6">
      <c r="A196" s="17">
        <f>'R-T Table'!A197</f>
        <v>148</v>
      </c>
      <c r="B196" s="18">
        <f>'R-T Table'!C197</f>
        <v>0.91600000000000004</v>
      </c>
      <c r="C196" s="7">
        <f t="shared" si="15"/>
        <v>0.13236994219653178</v>
      </c>
      <c r="D196" s="19">
        <f t="shared" si="16"/>
        <v>5.7552148781100779E-2</v>
      </c>
      <c r="E196" s="20">
        <f t="shared" si="17"/>
        <v>59</v>
      </c>
      <c r="F196" s="6"/>
    </row>
    <row r="197" spans="1:6">
      <c r="A197" s="17">
        <f>'R-T Table'!A198</f>
        <v>149</v>
      </c>
      <c r="B197" s="18">
        <f>'R-T Table'!C198</f>
        <v>0.89400000000000002</v>
      </c>
      <c r="C197" s="7">
        <f t="shared" si="15"/>
        <v>0.12936957342393357</v>
      </c>
      <c r="D197" s="19">
        <f t="shared" si="16"/>
        <v>5.6247640619101556E-2</v>
      </c>
      <c r="E197" s="20">
        <f t="shared" si="17"/>
        <v>58</v>
      </c>
      <c r="F197" s="6"/>
    </row>
    <row r="198" spans="1:6">
      <c r="A198" s="17">
        <f>'R-T Table'!A199</f>
        <v>150</v>
      </c>
      <c r="B198" s="18">
        <f>'R-T Table'!C199</f>
        <v>0.873</v>
      </c>
      <c r="C198" s="7">
        <f t="shared" si="15"/>
        <v>0.12649782649782648</v>
      </c>
      <c r="D198" s="19">
        <f t="shared" si="16"/>
        <v>5.4999054999054997E-2</v>
      </c>
      <c r="E198" s="20">
        <f t="shared" si="17"/>
        <v>56</v>
      </c>
      <c r="F198" s="6"/>
    </row>
  </sheetData>
  <mergeCells count="2">
    <mergeCell ref="A1:F1"/>
    <mergeCell ref="B5:F5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9"/>
  <sheetViews>
    <sheetView tabSelected="1" topLeftCell="B1" zoomScaleNormal="100" workbookViewId="0">
      <pane ySplit="7" topLeftCell="A155" activePane="bottomLeft" state="frozen"/>
      <selection pane="bottomLeft" activeCell="AF187" sqref="AF187"/>
    </sheetView>
  </sheetViews>
  <sheetFormatPr defaultColWidth="8.6328125" defaultRowHeight="14.5"/>
  <cols>
    <col min="1" max="1" width="10" customWidth="1"/>
    <col min="2" max="2" width="14" customWidth="1"/>
    <col min="3" max="5" width="12" customWidth="1"/>
    <col min="6" max="6" width="22" customWidth="1"/>
    <col min="21" max="21" width="10.7265625" customWidth="1"/>
  </cols>
  <sheetData>
    <row r="1" spans="1:28" ht="24" customHeight="1">
      <c r="A1" s="3" t="s">
        <v>28</v>
      </c>
      <c r="B1" s="3"/>
      <c r="C1" s="3"/>
      <c r="D1" s="3"/>
      <c r="E1" s="3"/>
      <c r="F1" s="3"/>
    </row>
    <row r="2" spans="1:28">
      <c r="A2" s="4" t="s">
        <v>17</v>
      </c>
      <c r="B2" s="14">
        <v>2.2999999999999998</v>
      </c>
    </row>
    <row r="3" spans="1:28">
      <c r="A3" s="4" t="s">
        <v>18</v>
      </c>
      <c r="B3" s="14">
        <v>15</v>
      </c>
    </row>
    <row r="4" spans="1:28">
      <c r="A4" s="4" t="s">
        <v>19</v>
      </c>
      <c r="B4" s="14">
        <v>10</v>
      </c>
    </row>
    <row r="5" spans="1:28">
      <c r="A5" s="15" t="s">
        <v>20</v>
      </c>
      <c r="B5" s="1" t="s">
        <v>29</v>
      </c>
      <c r="C5" s="1"/>
      <c r="D5" s="1"/>
      <c r="E5" s="1"/>
      <c r="F5" s="1"/>
    </row>
    <row r="7" spans="1:28" ht="21.75" customHeight="1">
      <c r="A7" s="5" t="s">
        <v>11</v>
      </c>
      <c r="B7" s="5" t="s">
        <v>13</v>
      </c>
      <c r="C7" s="5" t="s">
        <v>22</v>
      </c>
      <c r="D7" s="5" t="s">
        <v>23</v>
      </c>
      <c r="E7" s="5" t="s">
        <v>24</v>
      </c>
      <c r="F7" s="16" t="s">
        <v>25</v>
      </c>
    </row>
    <row r="8" spans="1:28">
      <c r="A8" s="17">
        <f>'R-T Table'!A9</f>
        <v>-40</v>
      </c>
      <c r="B8" s="18">
        <f>'R-T Table'!C9</f>
        <v>1675.991</v>
      </c>
      <c r="C8" s="7">
        <f t="shared" ref="C8:C39" si="0">$B$2*$B$3/(B8+$B$3)</f>
        <v>2.0402237504516581E-2</v>
      </c>
      <c r="D8" s="19">
        <f t="shared" ref="D8:D39" si="1">C8/$B$2</f>
        <v>8.8705380454419929E-3</v>
      </c>
      <c r="E8" s="20">
        <f t="shared" ref="E8:E39" si="2">ROUND(D8*(2^$B$4-1),0)</f>
        <v>9</v>
      </c>
      <c r="F8" s="21" t="s">
        <v>26</v>
      </c>
      <c r="Y8" s="27"/>
      <c r="Z8" s="26"/>
    </row>
    <row r="9" spans="1:28">
      <c r="A9" s="17">
        <f>'R-T Table'!A10</f>
        <v>-39</v>
      </c>
      <c r="B9" s="18">
        <f>'R-T Table'!C10</f>
        <v>1566.079</v>
      </c>
      <c r="C9" s="7">
        <f t="shared" si="0"/>
        <v>2.1820541541567502E-2</v>
      </c>
      <c r="D9" s="19">
        <f t="shared" si="1"/>
        <v>9.4871919745945672E-3</v>
      </c>
      <c r="E9" s="20">
        <f t="shared" si="2"/>
        <v>10</v>
      </c>
      <c r="F9" s="6"/>
      <c r="Y9" s="27"/>
      <c r="Z9" s="26"/>
      <c r="AB9" s="26"/>
    </row>
    <row r="10" spans="1:28">
      <c r="A10" s="17">
        <f>'R-T Table'!A11</f>
        <v>-38</v>
      </c>
      <c r="B10" s="18">
        <f>'R-T Table'!C11</f>
        <v>1464.8119999999999</v>
      </c>
      <c r="C10" s="7">
        <f t="shared" si="0"/>
        <v>2.3313772289993595E-2</v>
      </c>
      <c r="D10" s="19">
        <f t="shared" si="1"/>
        <v>1.0136422734779825E-2</v>
      </c>
      <c r="E10" s="20">
        <f t="shared" si="2"/>
        <v>10</v>
      </c>
      <c r="F10" s="6"/>
      <c r="Y10" s="27"/>
      <c r="Z10" s="26"/>
      <c r="AB10" s="26"/>
    </row>
    <row r="11" spans="1:28">
      <c r="A11" s="17">
        <f>'R-T Table'!A12</f>
        <v>-37</v>
      </c>
      <c r="B11" s="18">
        <f>'R-T Table'!C12</f>
        <v>1371.336</v>
      </c>
      <c r="C11" s="7">
        <f t="shared" si="0"/>
        <v>2.4885741984627101E-2</v>
      </c>
      <c r="D11" s="19">
        <f t="shared" si="1"/>
        <v>1.0819887819403089E-2</v>
      </c>
      <c r="E11" s="20">
        <f t="shared" si="2"/>
        <v>11</v>
      </c>
      <c r="F11" s="6"/>
      <c r="Y11" s="27"/>
      <c r="Z11" s="26"/>
      <c r="AB11" s="26"/>
    </row>
    <row r="12" spans="1:28">
      <c r="A12" s="17">
        <f>'R-T Table'!A13</f>
        <v>-36</v>
      </c>
      <c r="B12" s="18">
        <f>'R-T Table'!C13</f>
        <v>1284.8989999999999</v>
      </c>
      <c r="C12" s="7">
        <f t="shared" si="0"/>
        <v>2.6540523532982179E-2</v>
      </c>
      <c r="D12" s="19">
        <f t="shared" si="1"/>
        <v>1.153935805781834E-2</v>
      </c>
      <c r="E12" s="20">
        <f t="shared" si="2"/>
        <v>12</v>
      </c>
      <c r="F12" s="6"/>
      <c r="Y12" s="27"/>
      <c r="Z12" s="26"/>
      <c r="AB12" s="26"/>
    </row>
    <row r="13" spans="1:28">
      <c r="A13" s="17">
        <f>'R-T Table'!A14</f>
        <v>-35</v>
      </c>
      <c r="B13" s="18">
        <f>'R-T Table'!C14</f>
        <v>1204.8440000000001</v>
      </c>
      <c r="C13" s="7">
        <f t="shared" si="0"/>
        <v>2.8282304950469076E-2</v>
      </c>
      <c r="D13" s="19">
        <f t="shared" si="1"/>
        <v>1.2296654326290903E-2</v>
      </c>
      <c r="E13" s="20">
        <f t="shared" si="2"/>
        <v>13</v>
      </c>
      <c r="F13" s="6"/>
      <c r="Y13" s="27"/>
      <c r="Z13" s="26"/>
      <c r="AB13" s="26"/>
    </row>
    <row r="14" spans="1:28">
      <c r="A14" s="17">
        <f>'R-T Table'!A15</f>
        <v>-34</v>
      </c>
      <c r="B14" s="18">
        <f>'R-T Table'!C15</f>
        <v>1130.5820000000001</v>
      </c>
      <c r="C14" s="7">
        <f t="shared" si="0"/>
        <v>3.0115696650261609E-2</v>
      </c>
      <c r="D14" s="19">
        <f t="shared" si="1"/>
        <v>1.3093781152287657E-2</v>
      </c>
      <c r="E14" s="20">
        <f t="shared" si="2"/>
        <v>13</v>
      </c>
      <c r="F14" s="6"/>
      <c r="Y14" s="27"/>
      <c r="Z14" s="26"/>
      <c r="AB14" s="26"/>
    </row>
    <row r="15" spans="1:28">
      <c r="A15" s="17">
        <f>'R-T Table'!A16</f>
        <v>-33</v>
      </c>
      <c r="B15" s="18">
        <f>'R-T Table'!C16</f>
        <v>1061.5989999999999</v>
      </c>
      <c r="C15" s="7">
        <f t="shared" si="0"/>
        <v>3.2045357649412645E-2</v>
      </c>
      <c r="D15" s="19">
        <f t="shared" si="1"/>
        <v>1.3932764195396803E-2</v>
      </c>
      <c r="E15" s="20">
        <f t="shared" si="2"/>
        <v>14</v>
      </c>
      <c r="F15" s="6"/>
      <c r="Y15" s="27"/>
      <c r="Z15" s="26"/>
      <c r="AB15" s="26"/>
    </row>
    <row r="16" spans="1:28">
      <c r="A16" s="17">
        <f>'R-T Table'!A17</f>
        <v>-32</v>
      </c>
      <c r="B16" s="18">
        <f>'R-T Table'!C17</f>
        <v>997.43499999999995</v>
      </c>
      <c r="C16" s="7">
        <f t="shared" si="0"/>
        <v>3.4076261685935395E-2</v>
      </c>
      <c r="D16" s="19">
        <f t="shared" si="1"/>
        <v>1.4815765950406694E-2</v>
      </c>
      <c r="E16" s="20">
        <f t="shared" si="2"/>
        <v>15</v>
      </c>
      <c r="F16" s="6"/>
      <c r="Y16" s="27"/>
      <c r="Z16" s="26"/>
      <c r="AB16" s="26"/>
    </row>
    <row r="17" spans="1:28">
      <c r="A17" s="17">
        <f>'R-T Table'!A18</f>
        <v>-31</v>
      </c>
      <c r="B17" s="18">
        <f>'R-T Table'!C18</f>
        <v>937.67899999999997</v>
      </c>
      <c r="C17" s="7">
        <f t="shared" si="0"/>
        <v>3.621366693293334E-2</v>
      </c>
      <c r="D17" s="19">
        <f t="shared" si="1"/>
        <v>1.5745072579536237E-2</v>
      </c>
      <c r="E17" s="20">
        <f t="shared" si="2"/>
        <v>16</v>
      </c>
      <c r="F17" s="6"/>
      <c r="Y17" s="27"/>
      <c r="Z17" s="26"/>
      <c r="AB17" s="26"/>
    </row>
    <row r="18" spans="1:28">
      <c r="A18" s="17">
        <f>'R-T Table'!A19</f>
        <v>-30</v>
      </c>
      <c r="B18" s="18">
        <f>'R-T Table'!C19</f>
        <v>881.96600000000001</v>
      </c>
      <c r="C18" s="7">
        <f t="shared" si="0"/>
        <v>3.8462996367755298E-2</v>
      </c>
      <c r="D18" s="19">
        <f t="shared" si="1"/>
        <v>1.6723041899024044E-2</v>
      </c>
      <c r="E18" s="20">
        <f t="shared" si="2"/>
        <v>17</v>
      </c>
      <c r="F18" s="6"/>
      <c r="Y18" s="27"/>
      <c r="Z18" s="26"/>
      <c r="AB18" s="26"/>
    </row>
    <row r="19" spans="1:28">
      <c r="A19" s="17">
        <f>'R-T Table'!A20</f>
        <v>-29</v>
      </c>
      <c r="B19" s="18">
        <f>'R-T Table'!C20</f>
        <v>829.96799999999996</v>
      </c>
      <c r="C19" s="7">
        <f t="shared" si="0"/>
        <v>4.0829948589769079E-2</v>
      </c>
      <c r="D19" s="19">
        <f t="shared" si="1"/>
        <v>1.7752151560769164E-2</v>
      </c>
      <c r="E19" s="20">
        <f t="shared" si="2"/>
        <v>18</v>
      </c>
      <c r="F19" s="6"/>
      <c r="Y19" s="27"/>
      <c r="Z19" s="26"/>
      <c r="AB19" s="26"/>
    </row>
    <row r="20" spans="1:28">
      <c r="A20" s="17">
        <f>'R-T Table'!A21</f>
        <v>-28</v>
      </c>
      <c r="B20" s="18">
        <f>'R-T Table'!C21</f>
        <v>781.38900000000001</v>
      </c>
      <c r="C20" s="7">
        <f t="shared" si="0"/>
        <v>4.3320538078752968E-2</v>
      </c>
      <c r="D20" s="19">
        <f t="shared" si="1"/>
        <v>1.8835016555979554E-2</v>
      </c>
      <c r="E20" s="20">
        <f t="shared" si="2"/>
        <v>19</v>
      </c>
      <c r="F20" s="6"/>
      <c r="Y20" s="27"/>
      <c r="Z20" s="26"/>
      <c r="AB20" s="26"/>
    </row>
    <row r="21" spans="1:28">
      <c r="A21" s="17">
        <f>'R-T Table'!A22</f>
        <v>-27</v>
      </c>
      <c r="B21" s="18">
        <f>'R-T Table'!C22</f>
        <v>735.96500000000003</v>
      </c>
      <c r="C21" s="7">
        <f t="shared" si="0"/>
        <v>4.5940889388986168E-2</v>
      </c>
      <c r="D21" s="19">
        <f t="shared" si="1"/>
        <v>1.9974299734341814E-2</v>
      </c>
      <c r="E21" s="20">
        <f t="shared" si="2"/>
        <v>20</v>
      </c>
      <c r="F21" s="6"/>
      <c r="Y21" s="27"/>
      <c r="Z21" s="26"/>
      <c r="AB21" s="26"/>
    </row>
    <row r="22" spans="1:28">
      <c r="A22" s="17">
        <f>'R-T Table'!A23</f>
        <v>-26</v>
      </c>
      <c r="B22" s="18">
        <f>'R-T Table'!C23</f>
        <v>693.45500000000004</v>
      </c>
      <c r="C22" s="7">
        <f t="shared" si="0"/>
        <v>4.8697517838112513E-2</v>
      </c>
      <c r="D22" s="19">
        <f t="shared" si="1"/>
        <v>2.1172833842657616E-2</v>
      </c>
      <c r="E22" s="20">
        <f t="shared" si="2"/>
        <v>22</v>
      </c>
      <c r="F22" s="6"/>
      <c r="Y22" s="27"/>
      <c r="Z22" s="26"/>
      <c r="AB22" s="26"/>
    </row>
    <row r="23" spans="1:28">
      <c r="A23" s="17">
        <f>'R-T Table'!A24</f>
        <v>-25</v>
      </c>
      <c r="B23" s="18">
        <f>'R-T Table'!C24</f>
        <v>653.64300000000003</v>
      </c>
      <c r="C23" s="7">
        <f t="shared" si="0"/>
        <v>5.1597040573220683E-2</v>
      </c>
      <c r="D23" s="19">
        <f t="shared" si="1"/>
        <v>2.2433495901400299E-2</v>
      </c>
      <c r="E23" s="20">
        <f t="shared" si="2"/>
        <v>23</v>
      </c>
      <c r="F23" s="6"/>
      <c r="Y23" s="27"/>
      <c r="Z23" s="26"/>
      <c r="AB23" s="26"/>
    </row>
    <row r="24" spans="1:28">
      <c r="A24" s="17">
        <f>'R-T Table'!A25</f>
        <v>-24</v>
      </c>
      <c r="B24" s="18">
        <f>'R-T Table'!C25</f>
        <v>616.33199999999999</v>
      </c>
      <c r="C24" s="7">
        <f t="shared" si="0"/>
        <v>5.4646366729391195E-2</v>
      </c>
      <c r="D24" s="19">
        <f t="shared" si="1"/>
        <v>2.3759289882343999E-2</v>
      </c>
      <c r="E24" s="20">
        <f t="shared" si="2"/>
        <v>24</v>
      </c>
      <c r="F24" s="6"/>
      <c r="Y24" s="27"/>
      <c r="Z24" s="26"/>
      <c r="AB24" s="26"/>
    </row>
    <row r="25" spans="1:28">
      <c r="A25" s="17">
        <f>'R-T Table'!A26</f>
        <v>-23</v>
      </c>
      <c r="B25" s="18">
        <f>'R-T Table'!C26</f>
        <v>581.34100000000001</v>
      </c>
      <c r="C25" s="7">
        <f t="shared" si="0"/>
        <v>5.7852805693386834E-2</v>
      </c>
      <c r="D25" s="19">
        <f t="shared" si="1"/>
        <v>2.5153393779733409E-2</v>
      </c>
      <c r="E25" s="20">
        <f t="shared" si="2"/>
        <v>26</v>
      </c>
      <c r="F25" s="6"/>
      <c r="Y25" s="27"/>
      <c r="Z25" s="26"/>
      <c r="AB25" s="26"/>
    </row>
    <row r="26" spans="1:28">
      <c r="A26" s="17">
        <f>'R-T Table'!A27</f>
        <v>-22</v>
      </c>
      <c r="B26" s="18">
        <f>'R-T Table'!C27</f>
        <v>548.50900000000001</v>
      </c>
      <c r="C26" s="7">
        <f t="shared" si="0"/>
        <v>6.1223511958105367E-2</v>
      </c>
      <c r="D26" s="19">
        <f t="shared" si="1"/>
        <v>2.6618918242654509E-2</v>
      </c>
      <c r="E26" s="20">
        <f t="shared" si="2"/>
        <v>27</v>
      </c>
      <c r="F26" s="6"/>
      <c r="Y26" s="27"/>
      <c r="Z26" s="26"/>
      <c r="AB26" s="26"/>
    </row>
    <row r="27" spans="1:28">
      <c r="A27" s="17">
        <f>'R-T Table'!A28</f>
        <v>-21</v>
      </c>
      <c r="B27" s="18">
        <f>'R-T Table'!C28</f>
        <v>517.68499999999995</v>
      </c>
      <c r="C27" s="7">
        <f t="shared" si="0"/>
        <v>6.4766231450106543E-2</v>
      </c>
      <c r="D27" s="19">
        <f t="shared" si="1"/>
        <v>2.8159231065263718E-2</v>
      </c>
      <c r="E27" s="20">
        <f t="shared" si="2"/>
        <v>29</v>
      </c>
      <c r="F27" s="6"/>
      <c r="Y27" s="27"/>
      <c r="Z27" s="26"/>
      <c r="AB27" s="26"/>
    </row>
    <row r="28" spans="1:28">
      <c r="A28" s="17">
        <f>'R-T Table'!A29</f>
        <v>-20</v>
      </c>
      <c r="B28" s="18">
        <f>'R-T Table'!C29</f>
        <v>488.73200000000003</v>
      </c>
      <c r="C28" s="7">
        <f t="shared" si="0"/>
        <v>6.8488799599787181E-2</v>
      </c>
      <c r="D28" s="19">
        <f t="shared" si="1"/>
        <v>2.9777738956429212E-2</v>
      </c>
      <c r="E28" s="20">
        <f t="shared" si="2"/>
        <v>30</v>
      </c>
      <c r="F28" s="6"/>
      <c r="Y28" s="27"/>
      <c r="Z28" s="26"/>
      <c r="AB28" s="26"/>
    </row>
    <row r="29" spans="1:28">
      <c r="A29" s="17">
        <f>'R-T Table'!A30</f>
        <v>-19</v>
      </c>
      <c r="B29" s="18">
        <f>'R-T Table'!C30</f>
        <v>461.52499999999998</v>
      </c>
      <c r="C29" s="7">
        <f t="shared" si="0"/>
        <v>7.2399139604427898E-2</v>
      </c>
      <c r="D29" s="19">
        <f t="shared" si="1"/>
        <v>3.1477886784533872E-2</v>
      </c>
      <c r="E29" s="20">
        <f t="shared" si="2"/>
        <v>32</v>
      </c>
      <c r="F29" s="6"/>
      <c r="Y29" s="27"/>
      <c r="Z29" s="26"/>
      <c r="AB29" s="26"/>
    </row>
    <row r="30" spans="1:28">
      <c r="A30" s="17">
        <f>'R-T Table'!A31</f>
        <v>-18</v>
      </c>
      <c r="B30" s="18">
        <f>'R-T Table'!C31</f>
        <v>435.94799999999998</v>
      </c>
      <c r="C30" s="7">
        <f t="shared" si="0"/>
        <v>7.6505495090343018E-2</v>
      </c>
      <c r="D30" s="19">
        <f t="shared" si="1"/>
        <v>3.3263258734931751E-2</v>
      </c>
      <c r="E30" s="20">
        <f t="shared" si="2"/>
        <v>34</v>
      </c>
      <c r="F30" s="6"/>
      <c r="Y30" s="27"/>
      <c r="Z30" s="26"/>
      <c r="AB30" s="26"/>
    </row>
    <row r="31" spans="1:28">
      <c r="A31" s="17">
        <f>'R-T Table'!A32</f>
        <v>-17</v>
      </c>
      <c r="B31" s="18">
        <f>'R-T Table'!C32</f>
        <v>411.89499999999998</v>
      </c>
      <c r="C31" s="7">
        <f t="shared" si="0"/>
        <v>8.0816125745206677E-2</v>
      </c>
      <c r="D31" s="19">
        <f t="shared" si="1"/>
        <v>3.5137445976176816E-2</v>
      </c>
      <c r="E31" s="20">
        <f t="shared" si="2"/>
        <v>36</v>
      </c>
      <c r="F31" s="6"/>
      <c r="Y31" s="27"/>
      <c r="Z31" s="26"/>
      <c r="AB31" s="26"/>
    </row>
    <row r="32" spans="1:28">
      <c r="A32" s="17">
        <f>'R-T Table'!A33</f>
        <v>-16</v>
      </c>
      <c r="B32" s="18">
        <f>'R-T Table'!C33</f>
        <v>389.26799999999997</v>
      </c>
      <c r="C32" s="7">
        <f t="shared" si="0"/>
        <v>8.53394283000386E-2</v>
      </c>
      <c r="D32" s="19">
        <f t="shared" si="1"/>
        <v>3.7104099260886349E-2</v>
      </c>
      <c r="E32" s="20">
        <f t="shared" si="2"/>
        <v>38</v>
      </c>
      <c r="F32" s="6"/>
      <c r="Y32" s="27"/>
      <c r="Z32" s="26"/>
      <c r="AB32" s="26"/>
    </row>
    <row r="33" spans="1:33">
      <c r="A33" s="17">
        <f>'R-T Table'!A34</f>
        <v>-15</v>
      </c>
      <c r="B33" s="18">
        <f>'R-T Table'!C34</f>
        <v>367.97399999999999</v>
      </c>
      <c r="C33" s="7">
        <f t="shared" si="0"/>
        <v>9.0084444374813957E-2</v>
      </c>
      <c r="D33" s="19">
        <f t="shared" si="1"/>
        <v>3.9167149728179987E-2</v>
      </c>
      <c r="E33" s="20">
        <f t="shared" si="2"/>
        <v>40</v>
      </c>
      <c r="F33" s="6"/>
      <c r="Y33" s="27"/>
      <c r="Z33" s="26"/>
      <c r="AB33" s="26"/>
    </row>
    <row r="34" spans="1:33">
      <c r="A34" s="17">
        <f>'R-T Table'!A35</f>
        <v>-14</v>
      </c>
      <c r="B34" s="18">
        <f>'R-T Table'!C35</f>
        <v>347.93099999999998</v>
      </c>
      <c r="C34" s="7">
        <f t="shared" si="0"/>
        <v>9.505939145457401E-2</v>
      </c>
      <c r="D34" s="19">
        <f t="shared" si="1"/>
        <v>4.1330170197640875E-2</v>
      </c>
      <c r="E34" s="20">
        <f t="shared" si="2"/>
        <v>42</v>
      </c>
      <c r="F34" s="6"/>
      <c r="Y34" s="27"/>
      <c r="Z34" s="26"/>
      <c r="AB34" s="26"/>
    </row>
    <row r="35" spans="1:33">
      <c r="A35" s="17">
        <f>'R-T Table'!A36</f>
        <v>-13</v>
      </c>
      <c r="B35" s="18">
        <f>'R-T Table'!C36</f>
        <v>329.05900000000003</v>
      </c>
      <c r="C35" s="7">
        <f t="shared" si="0"/>
        <v>0.10027349960326572</v>
      </c>
      <c r="D35" s="19">
        <f t="shared" si="1"/>
        <v>4.3597173740550318E-2</v>
      </c>
      <c r="E35" s="20">
        <f t="shared" si="2"/>
        <v>45</v>
      </c>
      <c r="F35" s="6"/>
      <c r="Y35" s="27"/>
      <c r="Z35" s="26"/>
      <c r="AB35" s="26"/>
    </row>
    <row r="36" spans="1:33">
      <c r="A36" s="17">
        <f>'R-T Table'!A37</f>
        <v>-12</v>
      </c>
      <c r="B36" s="18">
        <f>'R-T Table'!C37</f>
        <v>311.28699999999998</v>
      </c>
      <c r="C36" s="7">
        <f t="shared" si="0"/>
        <v>0.10573513501917024</v>
      </c>
      <c r="D36" s="19">
        <f t="shared" si="1"/>
        <v>4.5971797834421846E-2</v>
      </c>
      <c r="E36" s="20">
        <f t="shared" si="2"/>
        <v>47</v>
      </c>
      <c r="F36" s="6"/>
      <c r="Y36" s="27"/>
      <c r="Z36" s="26"/>
      <c r="AB36" s="26"/>
    </row>
    <row r="37" spans="1:33">
      <c r="A37" s="17">
        <f>'R-T Table'!A38</f>
        <v>-11</v>
      </c>
      <c r="B37" s="18">
        <f>'R-T Table'!C38</f>
        <v>294.54700000000003</v>
      </c>
      <c r="C37" s="7">
        <f t="shared" si="0"/>
        <v>0.11145318804575718</v>
      </c>
      <c r="D37" s="19">
        <f t="shared" si="1"/>
        <v>4.8457907845981391E-2</v>
      </c>
      <c r="E37" s="20">
        <f t="shared" si="2"/>
        <v>50</v>
      </c>
      <c r="F37" s="6"/>
      <c r="Y37" s="27"/>
      <c r="Z37" s="26"/>
      <c r="AB37" s="26"/>
    </row>
    <row r="38" spans="1:33">
      <c r="A38" s="17">
        <f>'R-T Table'!A39</f>
        <v>-10</v>
      </c>
      <c r="B38" s="18">
        <f>'R-T Table'!C39</f>
        <v>278.77499999999998</v>
      </c>
      <c r="C38" s="7">
        <f t="shared" si="0"/>
        <v>0.11743681388817974</v>
      </c>
      <c r="D38" s="19">
        <f t="shared" si="1"/>
        <v>5.1059484299208584E-2</v>
      </c>
      <c r="E38" s="20">
        <f t="shared" si="2"/>
        <v>52</v>
      </c>
      <c r="F38" s="6"/>
      <c r="Y38" s="27"/>
      <c r="Z38" s="26"/>
      <c r="AB38" s="26"/>
    </row>
    <row r="39" spans="1:33">
      <c r="A39" s="17">
        <f>'R-T Table'!A40</f>
        <v>-9</v>
      </c>
      <c r="B39" s="18">
        <f>'R-T Table'!C40</f>
        <v>263.91399999999999</v>
      </c>
      <c r="C39" s="7">
        <f t="shared" si="0"/>
        <v>0.12369404189104886</v>
      </c>
      <c r="D39" s="19">
        <f t="shared" si="1"/>
        <v>5.3780018213499509E-2</v>
      </c>
      <c r="E39" s="20">
        <f t="shared" si="2"/>
        <v>55</v>
      </c>
      <c r="F39" s="6"/>
      <c r="Y39" s="27"/>
      <c r="Z39" s="26"/>
      <c r="AB39" s="26"/>
    </row>
    <row r="40" spans="1:33">
      <c r="A40" s="17">
        <f>'R-T Table'!A41</f>
        <v>-8</v>
      </c>
      <c r="B40" s="18">
        <f>'R-T Table'!C41</f>
        <v>249.90700000000001</v>
      </c>
      <c r="C40" s="7">
        <f t="shared" ref="C40:C71" si="3">$B$2*$B$3/(B40+$B$3)</f>
        <v>0.13023438414235938</v>
      </c>
      <c r="D40" s="19">
        <f t="shared" ref="D40:D71" si="4">C40/$B$2</f>
        <v>5.6623645279286691E-2</v>
      </c>
      <c r="E40" s="20">
        <f t="shared" ref="E40:E71" si="5">ROUND(D40*(2^$B$4-1),0)</f>
        <v>58</v>
      </c>
      <c r="F40" s="6"/>
      <c r="Y40" s="27"/>
      <c r="Z40" s="26"/>
      <c r="AB40" s="26"/>
    </row>
    <row r="41" spans="1:33">
      <c r="A41" s="17">
        <f>'R-T Table'!A42</f>
        <v>-7</v>
      </c>
      <c r="B41" s="18">
        <f>'R-T Table'!C42</f>
        <v>236.70500000000001</v>
      </c>
      <c r="C41" s="7">
        <f t="shared" si="3"/>
        <v>0.13706521523211695</v>
      </c>
      <c r="D41" s="19">
        <f t="shared" si="4"/>
        <v>5.9593571840050853E-2</v>
      </c>
      <c r="E41" s="20">
        <f t="shared" si="5"/>
        <v>61</v>
      </c>
      <c r="F41" s="6"/>
      <c r="Y41" s="27"/>
      <c r="Z41" s="26"/>
      <c r="AB41" s="26"/>
    </row>
    <row r="42" spans="1:33">
      <c r="A42" s="17">
        <f>'R-T Table'!A43</f>
        <v>-6</v>
      </c>
      <c r="B42" s="18">
        <f>'R-T Table'!C43</f>
        <v>224.25800000000001</v>
      </c>
      <c r="C42" s="7">
        <f t="shared" si="3"/>
        <v>0.14419580536491988</v>
      </c>
      <c r="D42" s="19">
        <f t="shared" si="4"/>
        <v>6.269382841953039E-2</v>
      </c>
      <c r="E42" s="20">
        <f t="shared" si="5"/>
        <v>64</v>
      </c>
      <c r="F42" s="6"/>
      <c r="Y42" s="27"/>
      <c r="Z42" s="26"/>
      <c r="AB42" s="26"/>
    </row>
    <row r="43" spans="1:33">
      <c r="A43" s="17">
        <f>'R-T Table'!A44</f>
        <v>-5</v>
      </c>
      <c r="B43" s="18">
        <f>'R-T Table'!C44</f>
        <v>212.52199999999999</v>
      </c>
      <c r="C43" s="7">
        <f t="shared" si="3"/>
        <v>0.15163368817081427</v>
      </c>
      <c r="D43" s="19">
        <f t="shared" si="4"/>
        <v>6.5927690509049688E-2</v>
      </c>
      <c r="E43" s="20">
        <f t="shared" si="5"/>
        <v>67</v>
      </c>
      <c r="F43" s="6"/>
      <c r="Y43" s="27"/>
      <c r="Z43" s="26"/>
      <c r="AB43" s="26"/>
    </row>
    <row r="44" spans="1:33">
      <c r="A44" s="17">
        <f>'R-T Table'!A45</f>
        <v>-4</v>
      </c>
      <c r="B44" s="18">
        <f>'R-T Table'!C45</f>
        <v>201.45599999999999</v>
      </c>
      <c r="C44" s="7">
        <f t="shared" si="3"/>
        <v>0.15938574121299479</v>
      </c>
      <c r="D44" s="19">
        <f t="shared" si="4"/>
        <v>6.9298148353476002E-2</v>
      </c>
      <c r="E44" s="20">
        <f t="shared" si="5"/>
        <v>71</v>
      </c>
      <c r="F44" s="6"/>
      <c r="Y44" s="27"/>
      <c r="Z44" s="26"/>
      <c r="AB44" s="26"/>
    </row>
    <row r="45" spans="1:33">
      <c r="A45" s="17">
        <f>'R-T Table'!A46</f>
        <v>-3</v>
      </c>
      <c r="B45" s="18">
        <f>'R-T Table'!C46</f>
        <v>191.03899999999999</v>
      </c>
      <c r="C45" s="7">
        <f t="shared" si="3"/>
        <v>0.16744402758701024</v>
      </c>
      <c r="D45" s="19">
        <f t="shared" si="4"/>
        <v>7.2801751124787067E-2</v>
      </c>
      <c r="E45" s="20">
        <f t="shared" si="5"/>
        <v>74</v>
      </c>
      <c r="F45" s="6"/>
      <c r="Y45" s="27"/>
      <c r="Z45" s="26"/>
      <c r="AB45" s="26"/>
    </row>
    <row r="46" spans="1:33">
      <c r="A46" s="17">
        <f>'R-T Table'!A47</f>
        <v>-2</v>
      </c>
      <c r="B46" s="18">
        <f>'R-T Table'!C47</f>
        <v>181.17400000000001</v>
      </c>
      <c r="C46" s="7">
        <f t="shared" si="3"/>
        <v>0.17586428374810117</v>
      </c>
      <c r="D46" s="19">
        <f t="shared" si="4"/>
        <v>7.6462732064391817E-2</v>
      </c>
      <c r="E46" s="20">
        <f t="shared" si="5"/>
        <v>78</v>
      </c>
      <c r="F46" s="6"/>
      <c r="Y46" s="27"/>
      <c r="Z46" s="26"/>
      <c r="AB46" s="26"/>
    </row>
    <row r="47" spans="1:33">
      <c r="A47" s="17">
        <f>'R-T Table'!A48</f>
        <v>-1</v>
      </c>
      <c r="B47" s="18">
        <f>'R-T Table'!C48</f>
        <v>171.887</v>
      </c>
      <c r="C47" s="7">
        <f t="shared" si="3"/>
        <v>0.18460353047563502</v>
      </c>
      <c r="D47" s="19">
        <f t="shared" si="4"/>
        <v>8.0262404554623926E-2</v>
      </c>
      <c r="E47" s="20">
        <f t="shared" si="5"/>
        <v>82</v>
      </c>
      <c r="F47" s="6"/>
      <c r="Y47" s="27"/>
      <c r="Z47" s="26"/>
      <c r="AB47" s="26"/>
    </row>
    <row r="48" spans="1:33">
      <c r="A48" s="17">
        <f>'R-T Table'!A49</f>
        <v>0</v>
      </c>
      <c r="B48" s="18">
        <f>'R-T Table'!C49</f>
        <v>163.126</v>
      </c>
      <c r="C48" s="7">
        <f t="shared" si="3"/>
        <v>0.19368312318246633</v>
      </c>
      <c r="D48" s="19">
        <f t="shared" si="4"/>
        <v>8.4210053557594061E-2</v>
      </c>
      <c r="E48" s="20">
        <f t="shared" si="5"/>
        <v>86</v>
      </c>
      <c r="F48" s="6"/>
      <c r="U48" t="s">
        <v>34</v>
      </c>
      <c r="V48" t="s">
        <v>30</v>
      </c>
      <c r="W48">
        <v>0</v>
      </c>
      <c r="X48" t="s">
        <v>31</v>
      </c>
      <c r="Y48" s="27" t="s">
        <v>32</v>
      </c>
      <c r="Z48" s="26">
        <f t="shared" ref="Z48:Z50" si="6">E48</f>
        <v>86</v>
      </c>
      <c r="AA48" t="s">
        <v>35</v>
      </c>
      <c r="AB48" s="26">
        <f t="shared" ref="AB48:AB73" si="7">Z48-Z47</f>
        <v>86</v>
      </c>
      <c r="AD48">
        <v>0</v>
      </c>
      <c r="AE48">
        <f>A28</f>
        <v>-20</v>
      </c>
      <c r="AF48" s="20">
        <f>E28</f>
        <v>30</v>
      </c>
      <c r="AG48" t="s">
        <v>33</v>
      </c>
    </row>
    <row r="49" spans="1:33">
      <c r="A49" s="17">
        <f>'R-T Table'!A50</f>
        <v>1</v>
      </c>
      <c r="B49" s="18">
        <f>'R-T Table'!C50</f>
        <v>154.85900000000001</v>
      </c>
      <c r="C49" s="7">
        <f t="shared" si="3"/>
        <v>0.2031096379938655</v>
      </c>
      <c r="D49" s="19">
        <f t="shared" si="4"/>
        <v>8.8308538258202396E-2</v>
      </c>
      <c r="E49" s="20">
        <f t="shared" si="5"/>
        <v>90</v>
      </c>
      <c r="F49" s="6"/>
      <c r="U49" t="s">
        <v>34</v>
      </c>
      <c r="V49" t="s">
        <v>30</v>
      </c>
      <c r="W49">
        <v>1</v>
      </c>
      <c r="X49" t="s">
        <v>31</v>
      </c>
      <c r="Y49" s="27" t="s">
        <v>32</v>
      </c>
      <c r="Z49" s="26">
        <f t="shared" si="6"/>
        <v>90</v>
      </c>
      <c r="AA49" t="s">
        <v>35</v>
      </c>
      <c r="AB49" s="26">
        <f t="shared" si="7"/>
        <v>4</v>
      </c>
      <c r="AD49">
        <v>1</v>
      </c>
      <c r="AE49">
        <f t="shared" ref="AE49:AE112" si="8">A29</f>
        <v>-19</v>
      </c>
      <c r="AF49" s="20">
        <f t="shared" ref="AF49:AF112" si="9">E29</f>
        <v>32</v>
      </c>
      <c r="AG49" t="s">
        <v>33</v>
      </c>
    </row>
    <row r="50" spans="1:33">
      <c r="A50" s="17">
        <f>'R-T Table'!A51</f>
        <v>2</v>
      </c>
      <c r="B50" s="18">
        <f>'R-T Table'!C51</f>
        <v>147.05799999999999</v>
      </c>
      <c r="C50" s="7">
        <f t="shared" si="3"/>
        <v>0.21288674425205792</v>
      </c>
      <c r="D50" s="19">
        <f t="shared" si="4"/>
        <v>9.255945402263388E-2</v>
      </c>
      <c r="E50" s="20">
        <f t="shared" si="5"/>
        <v>95</v>
      </c>
      <c r="F50" s="6"/>
      <c r="U50" t="s">
        <v>34</v>
      </c>
      <c r="V50" t="s">
        <v>30</v>
      </c>
      <c r="W50">
        <v>2</v>
      </c>
      <c r="X50" t="s">
        <v>31</v>
      </c>
      <c r="Y50" s="27" t="s">
        <v>32</v>
      </c>
      <c r="Z50" s="26">
        <f t="shared" si="6"/>
        <v>95</v>
      </c>
      <c r="AA50" t="s">
        <v>35</v>
      </c>
      <c r="AB50" s="26">
        <f t="shared" si="7"/>
        <v>5</v>
      </c>
      <c r="AD50">
        <v>2</v>
      </c>
      <c r="AE50">
        <f t="shared" si="8"/>
        <v>-18</v>
      </c>
      <c r="AF50" s="20">
        <f t="shared" si="9"/>
        <v>34</v>
      </c>
      <c r="AG50" t="s">
        <v>33</v>
      </c>
    </row>
    <row r="51" spans="1:33">
      <c r="A51" s="17">
        <f>'R-T Table'!A52</f>
        <v>3</v>
      </c>
      <c r="B51" s="18">
        <f>'R-T Table'!C52</f>
        <v>139.696</v>
      </c>
      <c r="C51" s="7">
        <f t="shared" si="3"/>
        <v>0.22301804830118427</v>
      </c>
      <c r="D51" s="19">
        <f t="shared" si="4"/>
        <v>9.6964368826601866E-2</v>
      </c>
      <c r="E51" s="20">
        <f t="shared" si="5"/>
        <v>99</v>
      </c>
      <c r="F51" s="6"/>
      <c r="U51" t="s">
        <v>34</v>
      </c>
      <c r="V51" t="s">
        <v>30</v>
      </c>
      <c r="W51">
        <v>3</v>
      </c>
      <c r="X51" t="s">
        <v>31</v>
      </c>
      <c r="Y51" s="27" t="s">
        <v>32</v>
      </c>
      <c r="Z51" s="26">
        <f t="shared" ref="Z51:Z114" si="10">E51</f>
        <v>99</v>
      </c>
      <c r="AA51" t="s">
        <v>35</v>
      </c>
      <c r="AB51" s="26">
        <f t="shared" si="7"/>
        <v>4</v>
      </c>
      <c r="AD51">
        <v>3</v>
      </c>
      <c r="AE51">
        <f t="shared" si="8"/>
        <v>-17</v>
      </c>
      <c r="AF51" s="20">
        <f t="shared" si="9"/>
        <v>36</v>
      </c>
      <c r="AG51" t="s">
        <v>33</v>
      </c>
    </row>
    <row r="52" spans="1:33">
      <c r="A52" s="17">
        <f>'R-T Table'!A53</f>
        <v>4</v>
      </c>
      <c r="B52" s="18">
        <f>'R-T Table'!C53</f>
        <v>132.74700000000001</v>
      </c>
      <c r="C52" s="7">
        <f t="shared" si="3"/>
        <v>0.23350727933562102</v>
      </c>
      <c r="D52" s="19">
        <f t="shared" si="4"/>
        <v>0.10152490405896566</v>
      </c>
      <c r="E52" s="20">
        <f t="shared" si="5"/>
        <v>104</v>
      </c>
      <c r="F52" s="6"/>
      <c r="U52" t="s">
        <v>34</v>
      </c>
      <c r="V52" t="s">
        <v>30</v>
      </c>
      <c r="W52">
        <v>4</v>
      </c>
      <c r="X52" t="s">
        <v>31</v>
      </c>
      <c r="Y52" s="27" t="s">
        <v>32</v>
      </c>
      <c r="Z52" s="26">
        <f t="shared" si="10"/>
        <v>104</v>
      </c>
      <c r="AA52" t="s">
        <v>35</v>
      </c>
      <c r="AB52" s="26">
        <f t="shared" si="7"/>
        <v>5</v>
      </c>
      <c r="AD52">
        <v>4</v>
      </c>
      <c r="AE52">
        <f t="shared" si="8"/>
        <v>-16</v>
      </c>
      <c r="AF52" s="20">
        <f t="shared" si="9"/>
        <v>38</v>
      </c>
      <c r="AG52" t="s">
        <v>33</v>
      </c>
    </row>
    <row r="53" spans="1:33">
      <c r="A53" s="17">
        <f>'R-T Table'!A54</f>
        <v>5</v>
      </c>
      <c r="B53" s="18">
        <f>'R-T Table'!C54</f>
        <v>126.187</v>
      </c>
      <c r="C53" s="7">
        <f t="shared" si="3"/>
        <v>0.24435677505719364</v>
      </c>
      <c r="D53" s="19">
        <f t="shared" si="4"/>
        <v>0.10624207611182333</v>
      </c>
      <c r="E53" s="20">
        <f t="shared" si="5"/>
        <v>109</v>
      </c>
      <c r="F53" s="6"/>
      <c r="U53" t="s">
        <v>34</v>
      </c>
      <c r="V53" t="s">
        <v>30</v>
      </c>
      <c r="W53">
        <v>5</v>
      </c>
      <c r="X53" t="s">
        <v>31</v>
      </c>
      <c r="Y53" s="27" t="s">
        <v>32</v>
      </c>
      <c r="Z53" s="26">
        <f t="shared" si="10"/>
        <v>109</v>
      </c>
      <c r="AA53" t="s">
        <v>35</v>
      </c>
      <c r="AB53" s="26">
        <f t="shared" si="7"/>
        <v>5</v>
      </c>
      <c r="AD53">
        <v>5</v>
      </c>
      <c r="AE53">
        <f t="shared" si="8"/>
        <v>-15</v>
      </c>
      <c r="AF53" s="20">
        <f t="shared" si="9"/>
        <v>40</v>
      </c>
      <c r="AG53" t="s">
        <v>33</v>
      </c>
    </row>
    <row r="54" spans="1:33">
      <c r="A54" s="17">
        <f>'R-T Table'!A55</f>
        <v>6</v>
      </c>
      <c r="B54" s="18">
        <f>'R-T Table'!C55</f>
        <v>119.994</v>
      </c>
      <c r="C54" s="7">
        <f t="shared" si="3"/>
        <v>0.25556691408507043</v>
      </c>
      <c r="D54" s="19">
        <f t="shared" si="4"/>
        <v>0.11111604960220454</v>
      </c>
      <c r="E54" s="20">
        <f t="shared" si="5"/>
        <v>114</v>
      </c>
      <c r="F54" s="6"/>
      <c r="U54" t="s">
        <v>34</v>
      </c>
      <c r="V54" t="s">
        <v>30</v>
      </c>
      <c r="W54">
        <v>6</v>
      </c>
      <c r="X54" t="s">
        <v>31</v>
      </c>
      <c r="Y54" s="27" t="s">
        <v>32</v>
      </c>
      <c r="Z54" s="26">
        <f t="shared" si="10"/>
        <v>114</v>
      </c>
      <c r="AA54" t="s">
        <v>35</v>
      </c>
      <c r="AB54" s="26">
        <f t="shared" si="7"/>
        <v>5</v>
      </c>
      <c r="AD54">
        <v>6</v>
      </c>
      <c r="AE54">
        <f t="shared" si="8"/>
        <v>-14</v>
      </c>
      <c r="AF54" s="20">
        <f t="shared" si="9"/>
        <v>42</v>
      </c>
      <c r="AG54" t="s">
        <v>33</v>
      </c>
    </row>
    <row r="55" spans="1:33">
      <c r="A55" s="17">
        <f>'R-T Table'!A56</f>
        <v>7</v>
      </c>
      <c r="B55" s="18">
        <f>'R-T Table'!C56</f>
        <v>114.14700000000001</v>
      </c>
      <c r="C55" s="7">
        <f t="shared" si="3"/>
        <v>0.26713744802434436</v>
      </c>
      <c r="D55" s="19">
        <f t="shared" si="4"/>
        <v>0.11614671653232364</v>
      </c>
      <c r="E55" s="20">
        <f t="shared" si="5"/>
        <v>119</v>
      </c>
      <c r="F55" s="6"/>
      <c r="U55" t="s">
        <v>34</v>
      </c>
      <c r="V55" t="s">
        <v>30</v>
      </c>
      <c r="W55">
        <v>7</v>
      </c>
      <c r="X55" t="s">
        <v>31</v>
      </c>
      <c r="Y55" s="27" t="s">
        <v>32</v>
      </c>
      <c r="Z55" s="26">
        <f t="shared" si="10"/>
        <v>119</v>
      </c>
      <c r="AA55" t="s">
        <v>35</v>
      </c>
      <c r="AB55" s="26">
        <f t="shared" si="7"/>
        <v>5</v>
      </c>
      <c r="AD55">
        <v>7</v>
      </c>
      <c r="AE55">
        <f t="shared" si="8"/>
        <v>-13</v>
      </c>
      <c r="AF55" s="20">
        <f t="shared" si="9"/>
        <v>45</v>
      </c>
      <c r="AG55" t="s">
        <v>33</v>
      </c>
    </row>
    <row r="56" spans="1:33">
      <c r="A56" s="17">
        <f>'R-T Table'!A57</f>
        <v>8</v>
      </c>
      <c r="B56" s="18">
        <f>'R-T Table'!C57</f>
        <v>108.626</v>
      </c>
      <c r="C56" s="7">
        <f t="shared" si="3"/>
        <v>0.27906751007069708</v>
      </c>
      <c r="D56" s="19">
        <f t="shared" si="4"/>
        <v>0.12133370003073787</v>
      </c>
      <c r="E56" s="20">
        <f t="shared" si="5"/>
        <v>124</v>
      </c>
      <c r="F56" s="6"/>
      <c r="U56" t="s">
        <v>34</v>
      </c>
      <c r="V56" t="s">
        <v>30</v>
      </c>
      <c r="W56">
        <v>8</v>
      </c>
      <c r="X56" t="s">
        <v>31</v>
      </c>
      <c r="Y56" s="27" t="s">
        <v>32</v>
      </c>
      <c r="Z56" s="26">
        <f t="shared" si="10"/>
        <v>124</v>
      </c>
      <c r="AA56" t="s">
        <v>35</v>
      </c>
      <c r="AB56" s="26">
        <f t="shared" si="7"/>
        <v>5</v>
      </c>
      <c r="AD56">
        <v>8</v>
      </c>
      <c r="AE56">
        <f t="shared" si="8"/>
        <v>-12</v>
      </c>
      <c r="AF56" s="20">
        <f t="shared" si="9"/>
        <v>47</v>
      </c>
      <c r="AG56" t="s">
        <v>33</v>
      </c>
    </row>
    <row r="57" spans="1:33">
      <c r="A57" s="17">
        <f>'R-T Table'!A58</f>
        <v>9</v>
      </c>
      <c r="B57" s="18">
        <f>'R-T Table'!C58</f>
        <v>103.411</v>
      </c>
      <c r="C57" s="7">
        <f t="shared" si="3"/>
        <v>0.29135806639585848</v>
      </c>
      <c r="D57" s="19">
        <f t="shared" si="4"/>
        <v>0.12667742017211239</v>
      </c>
      <c r="E57" s="20">
        <f t="shared" si="5"/>
        <v>130</v>
      </c>
      <c r="F57" s="6"/>
      <c r="U57" t="s">
        <v>34</v>
      </c>
      <c r="V57" t="s">
        <v>30</v>
      </c>
      <c r="W57">
        <v>9</v>
      </c>
      <c r="X57" t="s">
        <v>31</v>
      </c>
      <c r="Y57" s="27" t="s">
        <v>32</v>
      </c>
      <c r="Z57" s="26">
        <f t="shared" si="10"/>
        <v>130</v>
      </c>
      <c r="AA57" t="s">
        <v>35</v>
      </c>
      <c r="AB57" s="26">
        <f t="shared" si="7"/>
        <v>6</v>
      </c>
      <c r="AD57">
        <v>9</v>
      </c>
      <c r="AE57">
        <f t="shared" si="8"/>
        <v>-11</v>
      </c>
      <c r="AF57" s="20">
        <f t="shared" si="9"/>
        <v>50</v>
      </c>
      <c r="AG57" t="s">
        <v>33</v>
      </c>
    </row>
    <row r="58" spans="1:33">
      <c r="A58" s="17">
        <f>'R-T Table'!A59</f>
        <v>10</v>
      </c>
      <c r="B58" s="18">
        <f>'R-T Table'!C59</f>
        <v>98.486000000000004</v>
      </c>
      <c r="C58" s="7">
        <f t="shared" si="3"/>
        <v>0.30400225578485451</v>
      </c>
      <c r="D58" s="19">
        <f t="shared" si="4"/>
        <v>0.13217489381950198</v>
      </c>
      <c r="E58" s="20">
        <f t="shared" si="5"/>
        <v>135</v>
      </c>
      <c r="F58" s="6"/>
      <c r="U58" t="s">
        <v>34</v>
      </c>
      <c r="V58" t="s">
        <v>30</v>
      </c>
      <c r="W58">
        <v>10</v>
      </c>
      <c r="X58" t="s">
        <v>31</v>
      </c>
      <c r="Y58" s="27" t="s">
        <v>32</v>
      </c>
      <c r="Z58" s="26">
        <f t="shared" si="10"/>
        <v>135</v>
      </c>
      <c r="AA58" t="s">
        <v>35</v>
      </c>
      <c r="AB58" s="26">
        <f t="shared" si="7"/>
        <v>5</v>
      </c>
      <c r="AD58">
        <v>10</v>
      </c>
      <c r="AE58">
        <f t="shared" si="8"/>
        <v>-10</v>
      </c>
      <c r="AF58" s="20">
        <f t="shared" si="9"/>
        <v>52</v>
      </c>
      <c r="AG58" t="s">
        <v>33</v>
      </c>
    </row>
    <row r="59" spans="1:33">
      <c r="A59" s="17">
        <f>'R-T Table'!A60</f>
        <v>11</v>
      </c>
      <c r="B59" s="18">
        <f>'R-T Table'!C60</f>
        <v>93.832999999999998</v>
      </c>
      <c r="C59" s="7">
        <f t="shared" si="3"/>
        <v>0.31699943950823739</v>
      </c>
      <c r="D59" s="19">
        <f t="shared" si="4"/>
        <v>0.13782584326445105</v>
      </c>
      <c r="E59" s="20">
        <f t="shared" si="5"/>
        <v>141</v>
      </c>
      <c r="F59" s="6"/>
      <c r="U59" t="s">
        <v>34</v>
      </c>
      <c r="V59" t="s">
        <v>30</v>
      </c>
      <c r="W59">
        <v>11</v>
      </c>
      <c r="X59" t="s">
        <v>31</v>
      </c>
      <c r="Y59" s="27" t="s">
        <v>32</v>
      </c>
      <c r="Z59" s="26">
        <f t="shared" si="10"/>
        <v>141</v>
      </c>
      <c r="AA59" t="s">
        <v>35</v>
      </c>
      <c r="AB59" s="26">
        <f t="shared" si="7"/>
        <v>6</v>
      </c>
      <c r="AD59">
        <v>11</v>
      </c>
      <c r="AE59">
        <f t="shared" si="8"/>
        <v>-9</v>
      </c>
      <c r="AF59" s="20">
        <f t="shared" si="9"/>
        <v>55</v>
      </c>
      <c r="AG59" t="s">
        <v>33</v>
      </c>
    </row>
    <row r="60" spans="1:33">
      <c r="A60" s="17">
        <f>'R-T Table'!A61</f>
        <v>12</v>
      </c>
      <c r="B60" s="18">
        <f>'R-T Table'!C61</f>
        <v>89.436999999999998</v>
      </c>
      <c r="C60" s="7">
        <f t="shared" si="3"/>
        <v>0.33034269463887322</v>
      </c>
      <c r="D60" s="19">
        <f t="shared" si="4"/>
        <v>0.14362725853864056</v>
      </c>
      <c r="E60" s="20">
        <f t="shared" si="5"/>
        <v>147</v>
      </c>
      <c r="F60" s="6"/>
      <c r="U60" t="s">
        <v>34</v>
      </c>
      <c r="V60" t="s">
        <v>30</v>
      </c>
      <c r="W60">
        <v>12</v>
      </c>
      <c r="X60" t="s">
        <v>31</v>
      </c>
      <c r="Y60" s="27" t="s">
        <v>32</v>
      </c>
      <c r="Z60" s="26">
        <f t="shared" si="10"/>
        <v>147</v>
      </c>
      <c r="AA60" t="s">
        <v>35</v>
      </c>
      <c r="AB60" s="26">
        <f t="shared" si="7"/>
        <v>6</v>
      </c>
      <c r="AD60">
        <v>12</v>
      </c>
      <c r="AE60">
        <f t="shared" si="8"/>
        <v>-8</v>
      </c>
      <c r="AF60" s="20">
        <f t="shared" si="9"/>
        <v>58</v>
      </c>
      <c r="AG60" t="s">
        <v>33</v>
      </c>
    </row>
    <row r="61" spans="1:33">
      <c r="A61" s="17">
        <f>'R-T Table'!A62</f>
        <v>13</v>
      </c>
      <c r="B61" s="18">
        <f>'R-T Table'!C62</f>
        <v>85.283000000000001</v>
      </c>
      <c r="C61" s="7">
        <f t="shared" si="3"/>
        <v>0.34402640527307721</v>
      </c>
      <c r="D61" s="19">
        <f t="shared" si="4"/>
        <v>0.14957669794481618</v>
      </c>
      <c r="E61" s="20">
        <f t="shared" si="5"/>
        <v>153</v>
      </c>
      <c r="F61" s="6"/>
      <c r="U61" t="s">
        <v>34</v>
      </c>
      <c r="V61" t="s">
        <v>30</v>
      </c>
      <c r="W61">
        <v>13</v>
      </c>
      <c r="X61" t="s">
        <v>31</v>
      </c>
      <c r="Y61" s="27" t="s">
        <v>32</v>
      </c>
      <c r="Z61" s="26">
        <f t="shared" si="10"/>
        <v>153</v>
      </c>
      <c r="AA61" t="s">
        <v>35</v>
      </c>
      <c r="AB61" s="26">
        <f t="shared" si="7"/>
        <v>6</v>
      </c>
      <c r="AD61">
        <v>13</v>
      </c>
      <c r="AE61">
        <f t="shared" si="8"/>
        <v>-7</v>
      </c>
      <c r="AF61" s="20">
        <f t="shared" si="9"/>
        <v>61</v>
      </c>
      <c r="AG61" t="s">
        <v>33</v>
      </c>
    </row>
    <row r="62" spans="1:33">
      <c r="A62" s="17">
        <f>'R-T Table'!A63</f>
        <v>14</v>
      </c>
      <c r="B62" s="18">
        <f>'R-T Table'!C63</f>
        <v>81.358000000000004</v>
      </c>
      <c r="C62" s="7">
        <f t="shared" si="3"/>
        <v>0.35803980987567197</v>
      </c>
      <c r="D62" s="19">
        <f t="shared" si="4"/>
        <v>0.15566948255464</v>
      </c>
      <c r="E62" s="20">
        <f t="shared" si="5"/>
        <v>159</v>
      </c>
      <c r="F62" s="6"/>
      <c r="U62" t="s">
        <v>34</v>
      </c>
      <c r="V62" t="s">
        <v>30</v>
      </c>
      <c r="W62">
        <v>14</v>
      </c>
      <c r="X62" t="s">
        <v>31</v>
      </c>
      <c r="Y62" s="27" t="s">
        <v>32</v>
      </c>
      <c r="Z62" s="26">
        <f t="shared" si="10"/>
        <v>159</v>
      </c>
      <c r="AA62" t="s">
        <v>35</v>
      </c>
      <c r="AB62" s="26">
        <f t="shared" si="7"/>
        <v>6</v>
      </c>
      <c r="AD62">
        <v>14</v>
      </c>
      <c r="AE62">
        <f t="shared" si="8"/>
        <v>-6</v>
      </c>
      <c r="AF62" s="20">
        <f t="shared" si="9"/>
        <v>64</v>
      </c>
      <c r="AG62" t="s">
        <v>33</v>
      </c>
    </row>
    <row r="63" spans="1:33">
      <c r="A63" s="17">
        <f>'R-T Table'!A64</f>
        <v>15</v>
      </c>
      <c r="B63" s="18">
        <f>'R-T Table'!C64</f>
        <v>77.647000000000006</v>
      </c>
      <c r="C63" s="7">
        <f t="shared" si="3"/>
        <v>0.37238118881345317</v>
      </c>
      <c r="D63" s="19">
        <f t="shared" si="4"/>
        <v>0.16190486470150139</v>
      </c>
      <c r="E63" s="20">
        <f t="shared" si="5"/>
        <v>166</v>
      </c>
      <c r="F63" s="6"/>
      <c r="U63" t="s">
        <v>34</v>
      </c>
      <c r="V63" t="s">
        <v>30</v>
      </c>
      <c r="W63">
        <v>15</v>
      </c>
      <c r="X63" t="s">
        <v>31</v>
      </c>
      <c r="Y63" s="27" t="s">
        <v>32</v>
      </c>
      <c r="Z63" s="26">
        <f t="shared" si="10"/>
        <v>166</v>
      </c>
      <c r="AA63" t="s">
        <v>35</v>
      </c>
      <c r="AB63" s="26">
        <f t="shared" si="7"/>
        <v>7</v>
      </c>
      <c r="AD63">
        <v>15</v>
      </c>
      <c r="AE63">
        <f t="shared" si="8"/>
        <v>-5</v>
      </c>
      <c r="AF63" s="20">
        <f t="shared" si="9"/>
        <v>67</v>
      </c>
      <c r="AG63" t="s">
        <v>33</v>
      </c>
    </row>
    <row r="64" spans="1:33">
      <c r="A64" s="17">
        <f>'R-T Table'!A65</f>
        <v>16</v>
      </c>
      <c r="B64" s="18">
        <f>'R-T Table'!C65</f>
        <v>74.14</v>
      </c>
      <c r="C64" s="7">
        <f t="shared" si="3"/>
        <v>0.38703163562934711</v>
      </c>
      <c r="D64" s="19">
        <f t="shared" si="4"/>
        <v>0.16827462418667266</v>
      </c>
      <c r="E64" s="20">
        <f t="shared" si="5"/>
        <v>172</v>
      </c>
      <c r="F64" s="6"/>
      <c r="U64" t="s">
        <v>34</v>
      </c>
      <c r="V64" t="s">
        <v>30</v>
      </c>
      <c r="W64">
        <v>16</v>
      </c>
      <c r="X64" t="s">
        <v>31</v>
      </c>
      <c r="Y64" s="27" t="s">
        <v>32</v>
      </c>
      <c r="Z64" s="26">
        <f t="shared" si="10"/>
        <v>172</v>
      </c>
      <c r="AA64" t="s">
        <v>35</v>
      </c>
      <c r="AB64" s="26">
        <f t="shared" si="7"/>
        <v>6</v>
      </c>
      <c r="AD64">
        <v>16</v>
      </c>
      <c r="AE64">
        <f t="shared" si="8"/>
        <v>-4</v>
      </c>
      <c r="AF64" s="20">
        <f t="shared" si="9"/>
        <v>71</v>
      </c>
      <c r="AG64" t="s">
        <v>33</v>
      </c>
    </row>
    <row r="65" spans="1:33">
      <c r="A65" s="17">
        <f>'R-T Table'!A66</f>
        <v>17</v>
      </c>
      <c r="B65" s="18">
        <f>'R-T Table'!C66</f>
        <v>70.823999999999998</v>
      </c>
      <c r="C65" s="7">
        <f t="shared" si="3"/>
        <v>0.40198545861297541</v>
      </c>
      <c r="D65" s="19">
        <f t="shared" si="4"/>
        <v>0.17477628635346759</v>
      </c>
      <c r="E65" s="20">
        <f t="shared" si="5"/>
        <v>179</v>
      </c>
      <c r="F65" s="6"/>
      <c r="U65" t="s">
        <v>34</v>
      </c>
      <c r="V65" t="s">
        <v>30</v>
      </c>
      <c r="W65">
        <v>17</v>
      </c>
      <c r="X65" t="s">
        <v>31</v>
      </c>
      <c r="Y65" s="27" t="s">
        <v>32</v>
      </c>
      <c r="Z65" s="26">
        <f t="shared" si="10"/>
        <v>179</v>
      </c>
      <c r="AA65" t="s">
        <v>35</v>
      </c>
      <c r="AB65" s="26">
        <f t="shared" si="7"/>
        <v>7</v>
      </c>
      <c r="AD65">
        <v>17</v>
      </c>
      <c r="AE65">
        <f t="shared" si="8"/>
        <v>-3</v>
      </c>
      <c r="AF65" s="20">
        <f t="shared" si="9"/>
        <v>74</v>
      </c>
      <c r="AG65" t="s">
        <v>33</v>
      </c>
    </row>
    <row r="66" spans="1:33">
      <c r="A66" s="17">
        <f>'R-T Table'!A67</f>
        <v>18</v>
      </c>
      <c r="B66" s="18">
        <f>'R-T Table'!C67</f>
        <v>67.688999999999993</v>
      </c>
      <c r="C66" s="7">
        <f t="shared" si="3"/>
        <v>0.41722599136523603</v>
      </c>
      <c r="D66" s="19">
        <f t="shared" si="4"/>
        <v>0.18140260494140698</v>
      </c>
      <c r="E66" s="20">
        <f t="shared" si="5"/>
        <v>186</v>
      </c>
      <c r="F66" s="6"/>
      <c r="U66" t="s">
        <v>34</v>
      </c>
      <c r="V66" t="s">
        <v>30</v>
      </c>
      <c r="W66">
        <v>18</v>
      </c>
      <c r="X66" t="s">
        <v>31</v>
      </c>
      <c r="Y66" s="27" t="s">
        <v>32</v>
      </c>
      <c r="Z66" s="26">
        <f t="shared" si="10"/>
        <v>186</v>
      </c>
      <c r="AA66" t="s">
        <v>35</v>
      </c>
      <c r="AB66" s="26">
        <f t="shared" si="7"/>
        <v>7</v>
      </c>
      <c r="AD66">
        <v>18</v>
      </c>
      <c r="AE66">
        <f t="shared" si="8"/>
        <v>-2</v>
      </c>
      <c r="AF66" s="20">
        <f t="shared" si="9"/>
        <v>78</v>
      </c>
      <c r="AG66" t="s">
        <v>33</v>
      </c>
    </row>
    <row r="67" spans="1:33">
      <c r="A67" s="17">
        <f>'R-T Table'!A68</f>
        <v>19</v>
      </c>
      <c r="B67" s="18">
        <f>'R-T Table'!C68</f>
        <v>64.722999999999999</v>
      </c>
      <c r="C67" s="7">
        <f t="shared" si="3"/>
        <v>0.43274839130489318</v>
      </c>
      <c r="D67" s="19">
        <f t="shared" si="4"/>
        <v>0.18815147448038835</v>
      </c>
      <c r="E67" s="20">
        <f t="shared" si="5"/>
        <v>192</v>
      </c>
      <c r="F67" s="6"/>
      <c r="U67" t="s">
        <v>34</v>
      </c>
      <c r="V67" t="s">
        <v>30</v>
      </c>
      <c r="W67">
        <v>19</v>
      </c>
      <c r="X67" t="s">
        <v>31</v>
      </c>
      <c r="Y67" s="27" t="s">
        <v>32</v>
      </c>
      <c r="Z67" s="26">
        <f t="shared" si="10"/>
        <v>192</v>
      </c>
      <c r="AA67" t="s">
        <v>35</v>
      </c>
      <c r="AB67" s="26">
        <f t="shared" si="7"/>
        <v>6</v>
      </c>
      <c r="AD67">
        <v>19</v>
      </c>
      <c r="AE67">
        <f t="shared" si="8"/>
        <v>-1</v>
      </c>
      <c r="AF67" s="20">
        <f t="shared" si="9"/>
        <v>82</v>
      </c>
      <c r="AG67" t="s">
        <v>33</v>
      </c>
    </row>
    <row r="68" spans="1:33">
      <c r="A68" s="17">
        <f>'R-T Table'!A69</f>
        <v>20</v>
      </c>
      <c r="B68" s="18">
        <f>'R-T Table'!C69</f>
        <v>61.917999999999999</v>
      </c>
      <c r="C68" s="7">
        <f t="shared" si="3"/>
        <v>0.4485296029537949</v>
      </c>
      <c r="D68" s="19">
        <f t="shared" si="4"/>
        <v>0.19501287084947605</v>
      </c>
      <c r="E68" s="20">
        <f t="shared" si="5"/>
        <v>199</v>
      </c>
      <c r="F68" s="6"/>
      <c r="U68" t="s">
        <v>34</v>
      </c>
      <c r="V68" t="s">
        <v>30</v>
      </c>
      <c r="W68">
        <v>20</v>
      </c>
      <c r="X68" t="s">
        <v>31</v>
      </c>
      <c r="Y68" s="27" t="s">
        <v>32</v>
      </c>
      <c r="Z68" s="26">
        <f t="shared" si="10"/>
        <v>199</v>
      </c>
      <c r="AA68" t="s">
        <v>35</v>
      </c>
      <c r="AB68" s="26">
        <f t="shared" si="7"/>
        <v>7</v>
      </c>
      <c r="AD68">
        <v>20</v>
      </c>
      <c r="AE68">
        <f t="shared" si="8"/>
        <v>0</v>
      </c>
      <c r="AF68" s="20">
        <f t="shared" si="9"/>
        <v>86</v>
      </c>
      <c r="AG68" t="s">
        <v>33</v>
      </c>
    </row>
    <row r="69" spans="1:33">
      <c r="A69" s="17">
        <f>'R-T Table'!A70</f>
        <v>21</v>
      </c>
      <c r="B69" s="18">
        <f>'R-T Table'!C70</f>
        <v>59.265000000000001</v>
      </c>
      <c r="C69" s="7">
        <f t="shared" si="3"/>
        <v>0.46455261563320543</v>
      </c>
      <c r="D69" s="19">
        <f t="shared" si="4"/>
        <v>0.20197939810139368</v>
      </c>
      <c r="E69" s="20">
        <f t="shared" si="5"/>
        <v>207</v>
      </c>
      <c r="F69" s="6"/>
      <c r="U69" t="s">
        <v>34</v>
      </c>
      <c r="V69" t="s">
        <v>30</v>
      </c>
      <c r="W69">
        <v>21</v>
      </c>
      <c r="X69" t="s">
        <v>31</v>
      </c>
      <c r="Y69" s="27" t="s">
        <v>32</v>
      </c>
      <c r="Z69" s="26">
        <f t="shared" si="10"/>
        <v>207</v>
      </c>
      <c r="AA69" t="s">
        <v>35</v>
      </c>
      <c r="AB69" s="26">
        <f t="shared" si="7"/>
        <v>8</v>
      </c>
      <c r="AD69">
        <v>21</v>
      </c>
      <c r="AE69">
        <f t="shared" si="8"/>
        <v>1</v>
      </c>
      <c r="AF69" s="20">
        <f t="shared" si="9"/>
        <v>90</v>
      </c>
      <c r="AG69" t="s">
        <v>33</v>
      </c>
    </row>
    <row r="70" spans="1:33">
      <c r="A70" s="17">
        <f>'R-T Table'!A71</f>
        <v>22</v>
      </c>
      <c r="B70" s="18">
        <f>'R-T Table'!C71</f>
        <v>56.753999999999998</v>
      </c>
      <c r="C70" s="7">
        <f t="shared" si="3"/>
        <v>0.48080943222677486</v>
      </c>
      <c r="D70" s="19">
        <f t="shared" si="4"/>
        <v>0.20904757922903255</v>
      </c>
      <c r="E70" s="20">
        <f t="shared" si="5"/>
        <v>214</v>
      </c>
      <c r="F70" s="6"/>
      <c r="U70" t="s">
        <v>34</v>
      </c>
      <c r="V70" t="s">
        <v>30</v>
      </c>
      <c r="W70">
        <v>22</v>
      </c>
      <c r="X70" t="s">
        <v>31</v>
      </c>
      <c r="Y70" s="27" t="s">
        <v>32</v>
      </c>
      <c r="Z70" s="26">
        <f t="shared" si="10"/>
        <v>214</v>
      </c>
      <c r="AA70" t="s">
        <v>35</v>
      </c>
      <c r="AB70" s="26">
        <f t="shared" si="7"/>
        <v>7</v>
      </c>
      <c r="AD70">
        <v>22</v>
      </c>
      <c r="AE70">
        <f t="shared" si="8"/>
        <v>2</v>
      </c>
      <c r="AF70" s="20">
        <f t="shared" si="9"/>
        <v>95</v>
      </c>
      <c r="AG70" t="s">
        <v>33</v>
      </c>
    </row>
    <row r="71" spans="1:33">
      <c r="A71" s="17">
        <f>'R-T Table'!A72</f>
        <v>23</v>
      </c>
      <c r="B71" s="18">
        <f>'R-T Table'!C72</f>
        <v>54.378</v>
      </c>
      <c r="C71" s="7">
        <f t="shared" si="3"/>
        <v>0.49727579347920092</v>
      </c>
      <c r="D71" s="19">
        <f t="shared" si="4"/>
        <v>0.21620686673008738</v>
      </c>
      <c r="E71" s="20">
        <f t="shared" si="5"/>
        <v>221</v>
      </c>
      <c r="F71" s="6"/>
      <c r="U71" t="s">
        <v>34</v>
      </c>
      <c r="V71" t="s">
        <v>30</v>
      </c>
      <c r="W71">
        <v>23</v>
      </c>
      <c r="X71" t="s">
        <v>31</v>
      </c>
      <c r="Y71" s="27" t="s">
        <v>32</v>
      </c>
      <c r="Z71" s="26">
        <f t="shared" si="10"/>
        <v>221</v>
      </c>
      <c r="AA71" t="s">
        <v>35</v>
      </c>
      <c r="AB71" s="26">
        <f t="shared" si="7"/>
        <v>7</v>
      </c>
      <c r="AD71">
        <v>23</v>
      </c>
      <c r="AE71">
        <f t="shared" si="8"/>
        <v>3</v>
      </c>
      <c r="AF71" s="20">
        <f t="shared" si="9"/>
        <v>99</v>
      </c>
      <c r="AG71" t="s">
        <v>33</v>
      </c>
    </row>
    <row r="72" spans="1:33">
      <c r="A72" s="17">
        <f>'R-T Table'!A73</f>
        <v>24</v>
      </c>
      <c r="B72" s="18">
        <f>'R-T Table'!C73</f>
        <v>52.128999999999998</v>
      </c>
      <c r="C72" s="7">
        <f t="shared" ref="C72:C103" si="11">$B$2*$B$3/(B72+$B$3)</f>
        <v>0.51393585484663862</v>
      </c>
      <c r="D72" s="19">
        <f t="shared" ref="D72:D103" si="12">C72/$B$2</f>
        <v>0.2234503716724516</v>
      </c>
      <c r="E72" s="20">
        <f t="shared" ref="E72:E103" si="13">ROUND(D72*(2^$B$4-1),0)</f>
        <v>229</v>
      </c>
      <c r="F72" s="6"/>
      <c r="U72" t="s">
        <v>34</v>
      </c>
      <c r="V72" t="s">
        <v>30</v>
      </c>
      <c r="W72">
        <v>24</v>
      </c>
      <c r="X72" t="s">
        <v>31</v>
      </c>
      <c r="Y72" s="27" t="s">
        <v>32</v>
      </c>
      <c r="Z72" s="26">
        <f t="shared" si="10"/>
        <v>229</v>
      </c>
      <c r="AA72" t="s">
        <v>35</v>
      </c>
      <c r="AB72" s="26">
        <f t="shared" si="7"/>
        <v>8</v>
      </c>
      <c r="AD72">
        <v>24</v>
      </c>
      <c r="AE72">
        <f t="shared" si="8"/>
        <v>4</v>
      </c>
      <c r="AF72" s="20">
        <f t="shared" si="9"/>
        <v>104</v>
      </c>
      <c r="AG72" t="s">
        <v>33</v>
      </c>
    </row>
    <row r="73" spans="1:33">
      <c r="A73" s="22">
        <f>'R-T Table'!A74</f>
        <v>25</v>
      </c>
      <c r="B73" s="23">
        <f>'R-T Table'!C74</f>
        <v>50</v>
      </c>
      <c r="C73" s="11">
        <f t="shared" si="11"/>
        <v>0.53076923076923077</v>
      </c>
      <c r="D73" s="24">
        <f t="shared" si="12"/>
        <v>0.23076923076923078</v>
      </c>
      <c r="E73" s="25">
        <f t="shared" si="13"/>
        <v>236</v>
      </c>
      <c r="F73" s="10" t="s">
        <v>27</v>
      </c>
      <c r="U73" t="s">
        <v>34</v>
      </c>
      <c r="V73" t="s">
        <v>30</v>
      </c>
      <c r="W73">
        <v>25</v>
      </c>
      <c r="X73" t="s">
        <v>31</v>
      </c>
      <c r="Y73" s="27" t="s">
        <v>32</v>
      </c>
      <c r="Z73" s="26">
        <f t="shared" si="10"/>
        <v>236</v>
      </c>
      <c r="AA73" t="s">
        <v>35</v>
      </c>
      <c r="AB73" s="26">
        <f t="shared" si="7"/>
        <v>7</v>
      </c>
      <c r="AD73">
        <v>25</v>
      </c>
      <c r="AE73">
        <f t="shared" si="8"/>
        <v>5</v>
      </c>
      <c r="AF73" s="20">
        <f t="shared" si="9"/>
        <v>109</v>
      </c>
      <c r="AG73" t="s">
        <v>33</v>
      </c>
    </row>
    <row r="74" spans="1:33">
      <c r="A74" s="17">
        <f>'R-T Table'!A75</f>
        <v>26</v>
      </c>
      <c r="B74" s="18">
        <f>'R-T Table'!C75</f>
        <v>47.862000000000002</v>
      </c>
      <c r="C74" s="7">
        <f t="shared" si="11"/>
        <v>0.54882122745060602</v>
      </c>
      <c r="D74" s="19">
        <f t="shared" si="12"/>
        <v>0.23861792497852438</v>
      </c>
      <c r="E74" s="20">
        <f t="shared" si="13"/>
        <v>244</v>
      </c>
      <c r="F74" s="6"/>
      <c r="U74" t="s">
        <v>34</v>
      </c>
      <c r="V74" t="s">
        <v>30</v>
      </c>
      <c r="W74">
        <v>26</v>
      </c>
      <c r="X74" t="s">
        <v>31</v>
      </c>
      <c r="Y74" s="27" t="s">
        <v>32</v>
      </c>
      <c r="Z74" s="26">
        <f t="shared" si="10"/>
        <v>244</v>
      </c>
      <c r="AA74" t="s">
        <v>35</v>
      </c>
      <c r="AB74" s="26">
        <f t="shared" ref="AB74:AB137" si="14">Z74-Z73</f>
        <v>8</v>
      </c>
      <c r="AD74">
        <v>26</v>
      </c>
      <c r="AE74">
        <f t="shared" si="8"/>
        <v>6</v>
      </c>
      <c r="AF74" s="20">
        <f t="shared" si="9"/>
        <v>114</v>
      </c>
      <c r="AG74" t="s">
        <v>33</v>
      </c>
    </row>
    <row r="75" spans="1:33">
      <c r="A75" s="17">
        <f>'R-T Table'!A76</f>
        <v>27</v>
      </c>
      <c r="B75" s="18">
        <f>'R-T Table'!C76</f>
        <v>45.826000000000001</v>
      </c>
      <c r="C75" s="7">
        <f t="shared" si="11"/>
        <v>0.56719166146055966</v>
      </c>
      <c r="D75" s="19">
        <f t="shared" si="12"/>
        <v>0.24660507020024336</v>
      </c>
      <c r="E75" s="20">
        <f t="shared" si="13"/>
        <v>252</v>
      </c>
      <c r="F75" s="6"/>
      <c r="U75" t="s">
        <v>34</v>
      </c>
      <c r="V75" t="s">
        <v>30</v>
      </c>
      <c r="W75">
        <v>27</v>
      </c>
      <c r="X75" t="s">
        <v>31</v>
      </c>
      <c r="Y75" s="27" t="s">
        <v>32</v>
      </c>
      <c r="Z75" s="26">
        <f t="shared" si="10"/>
        <v>252</v>
      </c>
      <c r="AA75" t="s">
        <v>35</v>
      </c>
      <c r="AB75" s="26">
        <f t="shared" si="14"/>
        <v>8</v>
      </c>
      <c r="AD75">
        <v>27</v>
      </c>
      <c r="AE75">
        <f t="shared" si="8"/>
        <v>7</v>
      </c>
      <c r="AF75" s="20">
        <f t="shared" si="9"/>
        <v>119</v>
      </c>
      <c r="AG75" t="s">
        <v>33</v>
      </c>
    </row>
    <row r="76" spans="1:33">
      <c r="A76" s="17">
        <f>'R-T Table'!A77</f>
        <v>28</v>
      </c>
      <c r="B76" s="18">
        <f>'R-T Table'!C77</f>
        <v>43.886000000000003</v>
      </c>
      <c r="C76" s="7">
        <f t="shared" si="11"/>
        <v>0.58587779777875892</v>
      </c>
      <c r="D76" s="19">
        <f t="shared" si="12"/>
        <v>0.25472947729511258</v>
      </c>
      <c r="E76" s="20">
        <f t="shared" si="13"/>
        <v>261</v>
      </c>
      <c r="F76" s="6"/>
      <c r="U76" t="s">
        <v>34</v>
      </c>
      <c r="V76" t="s">
        <v>30</v>
      </c>
      <c r="W76">
        <v>28</v>
      </c>
      <c r="X76" t="s">
        <v>31</v>
      </c>
      <c r="Y76" s="27" t="s">
        <v>32</v>
      </c>
      <c r="Z76" s="26">
        <f t="shared" si="10"/>
        <v>261</v>
      </c>
      <c r="AA76" t="s">
        <v>35</v>
      </c>
      <c r="AB76" s="26">
        <f t="shared" si="14"/>
        <v>9</v>
      </c>
      <c r="AD76">
        <v>28</v>
      </c>
      <c r="AE76">
        <f t="shared" si="8"/>
        <v>8</v>
      </c>
      <c r="AF76" s="20">
        <f t="shared" si="9"/>
        <v>124</v>
      </c>
      <c r="AG76" t="s">
        <v>33</v>
      </c>
    </row>
    <row r="77" spans="1:33">
      <c r="A77" s="17">
        <f>'R-T Table'!A78</f>
        <v>29</v>
      </c>
      <c r="B77" s="18">
        <f>'R-T Table'!C78</f>
        <v>42.039000000000001</v>
      </c>
      <c r="C77" s="7">
        <f t="shared" si="11"/>
        <v>0.60484931362751804</v>
      </c>
      <c r="D77" s="19">
        <f t="shared" si="12"/>
        <v>0.26297796244674698</v>
      </c>
      <c r="E77" s="20">
        <f t="shared" si="13"/>
        <v>269</v>
      </c>
      <c r="F77" s="6"/>
      <c r="U77" t="s">
        <v>34</v>
      </c>
      <c r="V77" t="s">
        <v>30</v>
      </c>
      <c r="W77">
        <v>29</v>
      </c>
      <c r="X77" t="s">
        <v>31</v>
      </c>
      <c r="Y77" s="27" t="s">
        <v>32</v>
      </c>
      <c r="Z77" s="26">
        <f t="shared" si="10"/>
        <v>269</v>
      </c>
      <c r="AA77" t="s">
        <v>35</v>
      </c>
      <c r="AB77" s="26">
        <f t="shared" si="14"/>
        <v>8</v>
      </c>
      <c r="AD77">
        <v>29</v>
      </c>
      <c r="AE77">
        <f t="shared" si="8"/>
        <v>9</v>
      </c>
      <c r="AF77" s="20">
        <f t="shared" si="9"/>
        <v>130</v>
      </c>
      <c r="AG77" t="s">
        <v>33</v>
      </c>
    </row>
    <row r="78" spans="1:33">
      <c r="A78" s="17">
        <f>'R-T Table'!A79</f>
        <v>30</v>
      </c>
      <c r="B78" s="18">
        <f>'R-T Table'!C79</f>
        <v>40.279000000000003</v>
      </c>
      <c r="C78" s="7">
        <f t="shared" si="11"/>
        <v>0.62410680366866256</v>
      </c>
      <c r="D78" s="19">
        <f t="shared" si="12"/>
        <v>0.27135078420376635</v>
      </c>
      <c r="E78" s="20">
        <f t="shared" si="13"/>
        <v>278</v>
      </c>
      <c r="F78" s="6"/>
      <c r="U78" t="s">
        <v>34</v>
      </c>
      <c r="V78" t="s">
        <v>30</v>
      </c>
      <c r="W78">
        <v>30</v>
      </c>
      <c r="X78" t="s">
        <v>31</v>
      </c>
      <c r="Y78" s="27" t="s">
        <v>32</v>
      </c>
      <c r="Z78" s="26">
        <f t="shared" si="10"/>
        <v>278</v>
      </c>
      <c r="AA78" t="s">
        <v>35</v>
      </c>
      <c r="AB78" s="26">
        <f t="shared" si="14"/>
        <v>9</v>
      </c>
      <c r="AD78">
        <v>30</v>
      </c>
      <c r="AE78">
        <f t="shared" si="8"/>
        <v>10</v>
      </c>
      <c r="AF78" s="20">
        <f t="shared" si="9"/>
        <v>135</v>
      </c>
      <c r="AG78" t="s">
        <v>33</v>
      </c>
    </row>
    <row r="79" spans="1:33">
      <c r="A79" s="17">
        <f>'R-T Table'!A80</f>
        <v>31</v>
      </c>
      <c r="B79" s="18">
        <f>'R-T Table'!C80</f>
        <v>38.600999999999999</v>
      </c>
      <c r="C79" s="7">
        <f t="shared" si="11"/>
        <v>0.64364470812111718</v>
      </c>
      <c r="D79" s="19">
        <f t="shared" si="12"/>
        <v>0.27984552527005097</v>
      </c>
      <c r="E79" s="20">
        <f t="shared" si="13"/>
        <v>286</v>
      </c>
      <c r="F79" s="6"/>
      <c r="U79" t="s">
        <v>34</v>
      </c>
      <c r="V79" t="s">
        <v>30</v>
      </c>
      <c r="W79">
        <v>31</v>
      </c>
      <c r="X79" t="s">
        <v>31</v>
      </c>
      <c r="Y79" s="27" t="s">
        <v>32</v>
      </c>
      <c r="Z79" s="26">
        <f t="shared" si="10"/>
        <v>286</v>
      </c>
      <c r="AA79" t="s">
        <v>35</v>
      </c>
      <c r="AB79" s="26">
        <f t="shared" si="14"/>
        <v>8</v>
      </c>
      <c r="AD79">
        <v>31</v>
      </c>
      <c r="AE79">
        <f t="shared" si="8"/>
        <v>11</v>
      </c>
      <c r="AF79" s="20">
        <f t="shared" si="9"/>
        <v>141</v>
      </c>
      <c r="AG79" t="s">
        <v>33</v>
      </c>
    </row>
    <row r="80" spans="1:33">
      <c r="A80" s="17">
        <f>'R-T Table'!A81</f>
        <v>32</v>
      </c>
      <c r="B80" s="18">
        <f>'R-T Table'!C81</f>
        <v>37.002000000000002</v>
      </c>
      <c r="C80" s="7">
        <f t="shared" si="11"/>
        <v>0.66343602169147342</v>
      </c>
      <c r="D80" s="19">
        <f t="shared" si="12"/>
        <v>0.2884504442136841</v>
      </c>
      <c r="E80" s="20">
        <f t="shared" si="13"/>
        <v>295</v>
      </c>
      <c r="F80" s="6"/>
      <c r="U80" t="s">
        <v>34</v>
      </c>
      <c r="V80" t="s">
        <v>30</v>
      </c>
      <c r="W80">
        <v>32</v>
      </c>
      <c r="X80" t="s">
        <v>31</v>
      </c>
      <c r="Y80" s="27" t="s">
        <v>32</v>
      </c>
      <c r="Z80" s="26">
        <f t="shared" si="10"/>
        <v>295</v>
      </c>
      <c r="AA80" t="s">
        <v>35</v>
      </c>
      <c r="AB80" s="26">
        <f t="shared" si="14"/>
        <v>9</v>
      </c>
      <c r="AD80">
        <v>32</v>
      </c>
      <c r="AE80">
        <f t="shared" si="8"/>
        <v>12</v>
      </c>
      <c r="AF80" s="20">
        <f t="shared" si="9"/>
        <v>147</v>
      </c>
      <c r="AG80" t="s">
        <v>33</v>
      </c>
    </row>
    <row r="81" spans="1:33">
      <c r="A81" s="17">
        <f>'R-T Table'!A82</f>
        <v>33</v>
      </c>
      <c r="B81" s="18">
        <f>'R-T Table'!C82</f>
        <v>35.476999999999997</v>
      </c>
      <c r="C81" s="7">
        <f t="shared" si="11"/>
        <v>0.68347960457237955</v>
      </c>
      <c r="D81" s="19">
        <f t="shared" si="12"/>
        <v>0.297165045466252</v>
      </c>
      <c r="E81" s="20">
        <f t="shared" si="13"/>
        <v>304</v>
      </c>
      <c r="F81" s="6"/>
      <c r="U81" t="s">
        <v>34</v>
      </c>
      <c r="V81" t="s">
        <v>30</v>
      </c>
      <c r="W81">
        <v>33</v>
      </c>
      <c r="X81" t="s">
        <v>31</v>
      </c>
      <c r="Y81" s="27" t="s">
        <v>32</v>
      </c>
      <c r="Z81" s="26">
        <f t="shared" si="10"/>
        <v>304</v>
      </c>
      <c r="AA81" t="s">
        <v>35</v>
      </c>
      <c r="AB81" s="26">
        <f t="shared" si="14"/>
        <v>9</v>
      </c>
      <c r="AD81">
        <v>33</v>
      </c>
      <c r="AE81">
        <f t="shared" si="8"/>
        <v>13</v>
      </c>
      <c r="AF81" s="20">
        <f t="shared" si="9"/>
        <v>153</v>
      </c>
      <c r="AG81" t="s">
        <v>33</v>
      </c>
    </row>
    <row r="82" spans="1:33">
      <c r="A82" s="17">
        <f>'R-T Table'!A83</f>
        <v>34</v>
      </c>
      <c r="B82" s="18">
        <f>'R-T Table'!C83</f>
        <v>34.021999999999998</v>
      </c>
      <c r="C82" s="7">
        <f t="shared" si="11"/>
        <v>0.70376565623597576</v>
      </c>
      <c r="D82" s="19">
        <f t="shared" si="12"/>
        <v>0.30598506792868513</v>
      </c>
      <c r="E82" s="20">
        <f t="shared" si="13"/>
        <v>313</v>
      </c>
      <c r="F82" s="6"/>
      <c r="U82" t="s">
        <v>34</v>
      </c>
      <c r="V82" t="s">
        <v>30</v>
      </c>
      <c r="W82">
        <v>34</v>
      </c>
      <c r="X82" t="s">
        <v>31</v>
      </c>
      <c r="Y82" s="27" t="s">
        <v>32</v>
      </c>
      <c r="Z82" s="26">
        <f t="shared" si="10"/>
        <v>313</v>
      </c>
      <c r="AA82" t="s">
        <v>35</v>
      </c>
      <c r="AB82" s="26">
        <f t="shared" si="14"/>
        <v>9</v>
      </c>
      <c r="AD82">
        <v>34</v>
      </c>
      <c r="AE82">
        <f t="shared" si="8"/>
        <v>14</v>
      </c>
      <c r="AF82" s="20">
        <f t="shared" si="9"/>
        <v>159</v>
      </c>
      <c r="AG82" t="s">
        <v>33</v>
      </c>
    </row>
    <row r="83" spans="1:33">
      <c r="A83" s="17">
        <f>'R-T Table'!A84</f>
        <v>35</v>
      </c>
      <c r="B83" s="18">
        <f>'R-T Table'!C84</f>
        <v>32.634999999999998</v>
      </c>
      <c r="C83" s="7">
        <f t="shared" si="11"/>
        <v>0.72425737377978383</v>
      </c>
      <c r="D83" s="19">
        <f t="shared" si="12"/>
        <v>0.31489451033903648</v>
      </c>
      <c r="E83" s="20">
        <f t="shared" si="13"/>
        <v>322</v>
      </c>
      <c r="F83" s="6"/>
      <c r="U83" t="s">
        <v>34</v>
      </c>
      <c r="V83" t="s">
        <v>30</v>
      </c>
      <c r="W83">
        <v>35</v>
      </c>
      <c r="X83" t="s">
        <v>31</v>
      </c>
      <c r="Y83" s="27" t="s">
        <v>32</v>
      </c>
      <c r="Z83" s="26">
        <f t="shared" si="10"/>
        <v>322</v>
      </c>
      <c r="AA83" t="s">
        <v>35</v>
      </c>
      <c r="AB83" s="26">
        <f t="shared" si="14"/>
        <v>9</v>
      </c>
      <c r="AD83">
        <v>35</v>
      </c>
      <c r="AE83">
        <f t="shared" si="8"/>
        <v>15</v>
      </c>
      <c r="AF83" s="20">
        <f t="shared" si="9"/>
        <v>166</v>
      </c>
      <c r="AG83" t="s">
        <v>33</v>
      </c>
    </row>
    <row r="84" spans="1:33">
      <c r="A84" s="17">
        <f>'R-T Table'!A85</f>
        <v>36</v>
      </c>
      <c r="B84" s="18">
        <f>'R-T Table'!C85</f>
        <v>31.311</v>
      </c>
      <c r="C84" s="7">
        <f t="shared" si="11"/>
        <v>0.74496339962427938</v>
      </c>
      <c r="D84" s="19">
        <f t="shared" si="12"/>
        <v>0.32389713027142586</v>
      </c>
      <c r="E84" s="20">
        <f t="shared" si="13"/>
        <v>331</v>
      </c>
      <c r="F84" s="6"/>
      <c r="U84" t="s">
        <v>34</v>
      </c>
      <c r="V84" t="s">
        <v>30</v>
      </c>
      <c r="W84">
        <v>36</v>
      </c>
      <c r="X84" t="s">
        <v>31</v>
      </c>
      <c r="Y84" s="27" t="s">
        <v>32</v>
      </c>
      <c r="Z84" s="26">
        <f t="shared" si="10"/>
        <v>331</v>
      </c>
      <c r="AA84" t="s">
        <v>35</v>
      </c>
      <c r="AB84" s="26">
        <f t="shared" si="14"/>
        <v>9</v>
      </c>
      <c r="AD84">
        <v>36</v>
      </c>
      <c r="AE84">
        <f t="shared" si="8"/>
        <v>16</v>
      </c>
      <c r="AF84" s="20">
        <f t="shared" si="9"/>
        <v>172</v>
      </c>
      <c r="AG84" t="s">
        <v>33</v>
      </c>
    </row>
    <row r="85" spans="1:33">
      <c r="A85" s="17">
        <f>'R-T Table'!A86</f>
        <v>37</v>
      </c>
      <c r="B85" s="18">
        <f>'R-T Table'!C86</f>
        <v>30.047999999999998</v>
      </c>
      <c r="C85" s="7">
        <f t="shared" si="11"/>
        <v>0.76584976025572715</v>
      </c>
      <c r="D85" s="19">
        <f t="shared" si="12"/>
        <v>0.33297815663292485</v>
      </c>
      <c r="E85" s="20">
        <f t="shared" si="13"/>
        <v>341</v>
      </c>
      <c r="F85" s="6"/>
      <c r="U85" t="s">
        <v>34</v>
      </c>
      <c r="V85" t="s">
        <v>30</v>
      </c>
      <c r="W85">
        <v>37</v>
      </c>
      <c r="X85" t="s">
        <v>31</v>
      </c>
      <c r="Y85" s="27" t="s">
        <v>32</v>
      </c>
      <c r="Z85" s="26">
        <f t="shared" si="10"/>
        <v>341</v>
      </c>
      <c r="AA85" t="s">
        <v>35</v>
      </c>
      <c r="AB85" s="26">
        <f t="shared" si="14"/>
        <v>10</v>
      </c>
      <c r="AD85">
        <v>37</v>
      </c>
      <c r="AE85">
        <f t="shared" si="8"/>
        <v>17</v>
      </c>
      <c r="AF85" s="20">
        <f t="shared" si="9"/>
        <v>179</v>
      </c>
      <c r="AG85" t="s">
        <v>33</v>
      </c>
    </row>
    <row r="86" spans="1:33">
      <c r="A86" s="17">
        <f>'R-T Table'!A87</f>
        <v>38</v>
      </c>
      <c r="B86" s="18">
        <f>'R-T Table'!C87</f>
        <v>28.841999999999999</v>
      </c>
      <c r="C86" s="7">
        <f t="shared" si="11"/>
        <v>0.78691665526207744</v>
      </c>
      <c r="D86" s="19">
        <f t="shared" si="12"/>
        <v>0.34213767620090324</v>
      </c>
      <c r="E86" s="20">
        <f t="shared" si="13"/>
        <v>350</v>
      </c>
      <c r="F86" s="6"/>
      <c r="U86" t="s">
        <v>34</v>
      </c>
      <c r="V86" t="s">
        <v>30</v>
      </c>
      <c r="W86">
        <v>38</v>
      </c>
      <c r="X86" t="s">
        <v>31</v>
      </c>
      <c r="Y86" s="27" t="s">
        <v>32</v>
      </c>
      <c r="Z86" s="26">
        <f t="shared" si="10"/>
        <v>350</v>
      </c>
      <c r="AA86" t="s">
        <v>35</v>
      </c>
      <c r="AB86" s="26">
        <f t="shared" si="14"/>
        <v>9</v>
      </c>
      <c r="AD86">
        <v>38</v>
      </c>
      <c r="AE86">
        <f t="shared" si="8"/>
        <v>18</v>
      </c>
      <c r="AF86" s="20">
        <f t="shared" si="9"/>
        <v>186</v>
      </c>
      <c r="AG86" t="s">
        <v>33</v>
      </c>
    </row>
    <row r="87" spans="1:33">
      <c r="A87" s="17">
        <f>'R-T Table'!A88</f>
        <v>39</v>
      </c>
      <c r="B87" s="18">
        <f>'R-T Table'!C88</f>
        <v>27.69</v>
      </c>
      <c r="C87" s="7">
        <f t="shared" si="11"/>
        <v>0.8081517919887562</v>
      </c>
      <c r="D87" s="19">
        <f t="shared" si="12"/>
        <v>0.35137034434293751</v>
      </c>
      <c r="E87" s="20">
        <f t="shared" si="13"/>
        <v>359</v>
      </c>
      <c r="F87" s="6"/>
      <c r="U87" t="s">
        <v>34</v>
      </c>
      <c r="V87" t="s">
        <v>30</v>
      </c>
      <c r="W87">
        <v>39</v>
      </c>
      <c r="X87" t="s">
        <v>31</v>
      </c>
      <c r="Y87" s="27" t="s">
        <v>32</v>
      </c>
      <c r="Z87" s="26">
        <f t="shared" si="10"/>
        <v>359</v>
      </c>
      <c r="AA87" t="s">
        <v>35</v>
      </c>
      <c r="AB87" s="26">
        <f t="shared" si="14"/>
        <v>9</v>
      </c>
      <c r="AD87">
        <v>39</v>
      </c>
      <c r="AE87">
        <f t="shared" si="8"/>
        <v>19</v>
      </c>
      <c r="AF87" s="20">
        <f t="shared" si="9"/>
        <v>192</v>
      </c>
      <c r="AG87" t="s">
        <v>33</v>
      </c>
    </row>
    <row r="88" spans="1:33">
      <c r="A88" s="17">
        <f>'R-T Table'!A89</f>
        <v>40</v>
      </c>
      <c r="B88" s="18">
        <f>'R-T Table'!C89</f>
        <v>26.591000000000001</v>
      </c>
      <c r="C88" s="7">
        <f t="shared" si="11"/>
        <v>0.8295063835926042</v>
      </c>
      <c r="D88" s="19">
        <f t="shared" si="12"/>
        <v>0.36065494938808879</v>
      </c>
      <c r="E88" s="20">
        <f t="shared" si="13"/>
        <v>369</v>
      </c>
      <c r="F88" s="6"/>
      <c r="U88" t="s">
        <v>34</v>
      </c>
      <c r="V88" t="s">
        <v>30</v>
      </c>
      <c r="W88">
        <v>40</v>
      </c>
      <c r="X88" t="s">
        <v>31</v>
      </c>
      <c r="Y88" s="27" t="s">
        <v>32</v>
      </c>
      <c r="Z88" s="26">
        <f t="shared" si="10"/>
        <v>369</v>
      </c>
      <c r="AA88" t="s">
        <v>35</v>
      </c>
      <c r="AB88" s="26">
        <f t="shared" si="14"/>
        <v>10</v>
      </c>
      <c r="AD88">
        <v>40</v>
      </c>
      <c r="AE88">
        <f t="shared" si="8"/>
        <v>20</v>
      </c>
      <c r="AF88" s="20">
        <f t="shared" si="9"/>
        <v>199</v>
      </c>
      <c r="AG88" t="s">
        <v>33</v>
      </c>
    </row>
    <row r="89" spans="1:33">
      <c r="A89" s="17">
        <f>'R-T Table'!A90</f>
        <v>41</v>
      </c>
      <c r="B89" s="18">
        <f>'R-T Table'!C90</f>
        <v>25.54</v>
      </c>
      <c r="C89" s="7">
        <f t="shared" si="11"/>
        <v>0.85101134681795754</v>
      </c>
      <c r="D89" s="19">
        <f t="shared" si="12"/>
        <v>0.370004933399112</v>
      </c>
      <c r="E89" s="20">
        <f t="shared" si="13"/>
        <v>379</v>
      </c>
      <c r="F89" s="6"/>
      <c r="U89" t="s">
        <v>34</v>
      </c>
      <c r="V89" t="s">
        <v>30</v>
      </c>
      <c r="W89">
        <v>41</v>
      </c>
      <c r="X89" t="s">
        <v>31</v>
      </c>
      <c r="Y89" s="27" t="s">
        <v>32</v>
      </c>
      <c r="Z89" s="26">
        <f t="shared" si="10"/>
        <v>379</v>
      </c>
      <c r="AA89" t="s">
        <v>35</v>
      </c>
      <c r="AB89" s="26">
        <f t="shared" si="14"/>
        <v>10</v>
      </c>
      <c r="AD89">
        <v>41</v>
      </c>
      <c r="AE89">
        <f t="shared" si="8"/>
        <v>21</v>
      </c>
      <c r="AF89" s="20">
        <f t="shared" si="9"/>
        <v>207</v>
      </c>
      <c r="AG89" t="s">
        <v>33</v>
      </c>
    </row>
    <row r="90" spans="1:33">
      <c r="A90" s="17">
        <f>'R-T Table'!A91</f>
        <v>42</v>
      </c>
      <c r="B90" s="18">
        <f>'R-T Table'!C91</f>
        <v>24.536999999999999</v>
      </c>
      <c r="C90" s="7">
        <f t="shared" si="11"/>
        <v>0.87260034904013961</v>
      </c>
      <c r="D90" s="19">
        <f t="shared" si="12"/>
        <v>0.37939145610440855</v>
      </c>
      <c r="E90" s="20">
        <f t="shared" si="13"/>
        <v>388</v>
      </c>
      <c r="F90" s="6"/>
      <c r="U90" t="s">
        <v>34</v>
      </c>
      <c r="V90" t="s">
        <v>30</v>
      </c>
      <c r="W90">
        <v>42</v>
      </c>
      <c r="X90" t="s">
        <v>31</v>
      </c>
      <c r="Y90" s="27" t="s">
        <v>32</v>
      </c>
      <c r="Z90" s="26">
        <f t="shared" si="10"/>
        <v>388</v>
      </c>
      <c r="AA90" t="s">
        <v>35</v>
      </c>
      <c r="AB90" s="26">
        <f t="shared" si="14"/>
        <v>9</v>
      </c>
      <c r="AD90">
        <v>42</v>
      </c>
      <c r="AE90">
        <f t="shared" si="8"/>
        <v>22</v>
      </c>
      <c r="AF90" s="20">
        <f t="shared" si="9"/>
        <v>214</v>
      </c>
      <c r="AG90" t="s">
        <v>33</v>
      </c>
    </row>
    <row r="91" spans="1:33">
      <c r="A91" s="17">
        <f>'R-T Table'!A92</f>
        <v>43</v>
      </c>
      <c r="B91" s="18">
        <f>'R-T Table'!C92</f>
        <v>23.577000000000002</v>
      </c>
      <c r="C91" s="7">
        <f t="shared" si="11"/>
        <v>0.89431526557275065</v>
      </c>
      <c r="D91" s="19">
        <f t="shared" si="12"/>
        <v>0.38883272416206555</v>
      </c>
      <c r="E91" s="20">
        <f t="shared" si="13"/>
        <v>398</v>
      </c>
      <c r="F91" s="6"/>
      <c r="U91" t="s">
        <v>34</v>
      </c>
      <c r="V91" t="s">
        <v>30</v>
      </c>
      <c r="W91">
        <v>43</v>
      </c>
      <c r="X91" t="s">
        <v>31</v>
      </c>
      <c r="Y91" s="27" t="s">
        <v>32</v>
      </c>
      <c r="Z91" s="26">
        <f t="shared" si="10"/>
        <v>398</v>
      </c>
      <c r="AA91" t="s">
        <v>35</v>
      </c>
      <c r="AB91" s="26">
        <f t="shared" si="14"/>
        <v>10</v>
      </c>
      <c r="AD91">
        <v>43</v>
      </c>
      <c r="AE91">
        <f t="shared" si="8"/>
        <v>23</v>
      </c>
      <c r="AF91" s="20">
        <f t="shared" si="9"/>
        <v>221</v>
      </c>
      <c r="AG91" t="s">
        <v>33</v>
      </c>
    </row>
    <row r="92" spans="1:33">
      <c r="A92" s="17">
        <f>'R-T Table'!A93</f>
        <v>44</v>
      </c>
      <c r="B92" s="18">
        <f>'R-T Table'!C93</f>
        <v>22.661000000000001</v>
      </c>
      <c r="C92" s="7">
        <f t="shared" si="11"/>
        <v>0.91606701893205167</v>
      </c>
      <c r="D92" s="19">
        <f t="shared" si="12"/>
        <v>0.39829000823132682</v>
      </c>
      <c r="E92" s="20">
        <f t="shared" si="13"/>
        <v>407</v>
      </c>
      <c r="F92" s="6"/>
      <c r="U92" t="s">
        <v>34</v>
      </c>
      <c r="V92" t="s">
        <v>30</v>
      </c>
      <c r="W92">
        <v>44</v>
      </c>
      <c r="X92" t="s">
        <v>31</v>
      </c>
      <c r="Y92" s="27" t="s">
        <v>32</v>
      </c>
      <c r="Z92" s="26">
        <f t="shared" si="10"/>
        <v>407</v>
      </c>
      <c r="AA92" t="s">
        <v>35</v>
      </c>
      <c r="AB92" s="26">
        <f t="shared" si="14"/>
        <v>9</v>
      </c>
      <c r="AD92">
        <v>44</v>
      </c>
      <c r="AE92">
        <f t="shared" si="8"/>
        <v>24</v>
      </c>
      <c r="AF92" s="20">
        <f t="shared" si="9"/>
        <v>229</v>
      </c>
      <c r="AG92" t="s">
        <v>33</v>
      </c>
    </row>
    <row r="93" spans="1:33">
      <c r="A93" s="17">
        <f>'R-T Table'!A94</f>
        <v>45</v>
      </c>
      <c r="B93" s="18">
        <f>'R-T Table'!C94</f>
        <v>21.783999999999999</v>
      </c>
      <c r="C93" s="7">
        <f t="shared" si="11"/>
        <v>0.93790778599391045</v>
      </c>
      <c r="D93" s="19">
        <f t="shared" si="12"/>
        <v>0.40778599391039588</v>
      </c>
      <c r="E93" s="20">
        <f t="shared" si="13"/>
        <v>417</v>
      </c>
      <c r="F93" s="6"/>
      <c r="U93" t="s">
        <v>34</v>
      </c>
      <c r="V93" t="s">
        <v>30</v>
      </c>
      <c r="W93">
        <v>45</v>
      </c>
      <c r="X93" t="s">
        <v>31</v>
      </c>
      <c r="Y93" s="27" t="s">
        <v>32</v>
      </c>
      <c r="Z93" s="26">
        <f t="shared" si="10"/>
        <v>417</v>
      </c>
      <c r="AA93" t="s">
        <v>35</v>
      </c>
      <c r="AB93" s="26">
        <f t="shared" si="14"/>
        <v>10</v>
      </c>
      <c r="AD93">
        <v>45</v>
      </c>
      <c r="AE93">
        <f t="shared" si="8"/>
        <v>25</v>
      </c>
      <c r="AF93" s="20">
        <f t="shared" si="9"/>
        <v>236</v>
      </c>
      <c r="AG93" t="s">
        <v>33</v>
      </c>
    </row>
    <row r="94" spans="1:33">
      <c r="A94" s="17">
        <f>'R-T Table'!A95</f>
        <v>46</v>
      </c>
      <c r="B94" s="18">
        <f>'R-T Table'!C95</f>
        <v>20.946000000000002</v>
      </c>
      <c r="C94" s="7">
        <f t="shared" si="11"/>
        <v>0.95977299282256723</v>
      </c>
      <c r="D94" s="19">
        <f t="shared" si="12"/>
        <v>0.41729260557502929</v>
      </c>
      <c r="E94" s="20">
        <f t="shared" si="13"/>
        <v>427</v>
      </c>
      <c r="F94" s="6"/>
      <c r="U94" t="s">
        <v>34</v>
      </c>
      <c r="V94" t="s">
        <v>30</v>
      </c>
      <c r="W94">
        <v>46</v>
      </c>
      <c r="X94" t="s">
        <v>31</v>
      </c>
      <c r="Y94" s="27" t="s">
        <v>32</v>
      </c>
      <c r="Z94" s="26">
        <f t="shared" si="10"/>
        <v>427</v>
      </c>
      <c r="AA94" t="s">
        <v>35</v>
      </c>
      <c r="AB94" s="26">
        <f t="shared" si="14"/>
        <v>10</v>
      </c>
      <c r="AD94">
        <v>46</v>
      </c>
      <c r="AE94">
        <f t="shared" si="8"/>
        <v>26</v>
      </c>
      <c r="AF94" s="20">
        <f t="shared" si="9"/>
        <v>244</v>
      </c>
      <c r="AG94" t="s">
        <v>33</v>
      </c>
    </row>
    <row r="95" spans="1:33">
      <c r="A95" s="17">
        <f>'R-T Table'!A96</f>
        <v>47</v>
      </c>
      <c r="B95" s="18">
        <f>'R-T Table'!C96</f>
        <v>20.143999999999998</v>
      </c>
      <c r="C95" s="7">
        <f t="shared" si="11"/>
        <v>0.98167539267015713</v>
      </c>
      <c r="D95" s="19">
        <f t="shared" si="12"/>
        <v>0.42681538811745967</v>
      </c>
      <c r="E95" s="20">
        <f t="shared" si="13"/>
        <v>437</v>
      </c>
      <c r="F95" s="6"/>
      <c r="U95" t="s">
        <v>34</v>
      </c>
      <c r="V95" t="s">
        <v>30</v>
      </c>
      <c r="W95">
        <v>47</v>
      </c>
      <c r="X95" t="s">
        <v>31</v>
      </c>
      <c r="Y95" s="27" t="s">
        <v>32</v>
      </c>
      <c r="Z95" s="26">
        <f t="shared" si="10"/>
        <v>437</v>
      </c>
      <c r="AA95" t="s">
        <v>35</v>
      </c>
      <c r="AB95" s="26">
        <f t="shared" si="14"/>
        <v>10</v>
      </c>
      <c r="AD95">
        <v>47</v>
      </c>
      <c r="AE95">
        <f t="shared" si="8"/>
        <v>27</v>
      </c>
      <c r="AF95" s="20">
        <f t="shared" si="9"/>
        <v>252</v>
      </c>
      <c r="AG95" t="s">
        <v>33</v>
      </c>
    </row>
    <row r="96" spans="1:33">
      <c r="A96" s="17">
        <f>'R-T Table'!A97</f>
        <v>48</v>
      </c>
      <c r="B96" s="18">
        <f>'R-T Table'!C97</f>
        <v>19.376999999999999</v>
      </c>
      <c r="C96" s="7">
        <f t="shared" si="11"/>
        <v>1.0035779736451698</v>
      </c>
      <c r="D96" s="19">
        <f t="shared" si="12"/>
        <v>0.4363382494109434</v>
      </c>
      <c r="E96" s="20">
        <f t="shared" si="13"/>
        <v>446</v>
      </c>
      <c r="F96" s="6"/>
      <c r="U96" t="s">
        <v>34</v>
      </c>
      <c r="V96" t="s">
        <v>30</v>
      </c>
      <c r="W96">
        <v>48</v>
      </c>
      <c r="X96" t="s">
        <v>31</v>
      </c>
      <c r="Y96" s="27" t="s">
        <v>32</v>
      </c>
      <c r="Z96" s="26">
        <f t="shared" si="10"/>
        <v>446</v>
      </c>
      <c r="AA96" t="s">
        <v>35</v>
      </c>
      <c r="AB96" s="26">
        <f t="shared" si="14"/>
        <v>9</v>
      </c>
      <c r="AD96">
        <v>48</v>
      </c>
      <c r="AE96">
        <f t="shared" si="8"/>
        <v>28</v>
      </c>
      <c r="AF96" s="20">
        <f t="shared" si="9"/>
        <v>261</v>
      </c>
      <c r="AG96" t="s">
        <v>33</v>
      </c>
    </row>
    <row r="97" spans="1:33">
      <c r="A97" s="17">
        <f>'R-T Table'!A98</f>
        <v>49</v>
      </c>
      <c r="B97" s="18">
        <f>'R-T Table'!C98</f>
        <v>18.643000000000001</v>
      </c>
      <c r="C97" s="7">
        <f t="shared" si="11"/>
        <v>1.0254733525547661</v>
      </c>
      <c r="D97" s="19">
        <f t="shared" si="12"/>
        <v>0.44585797937163746</v>
      </c>
      <c r="E97" s="20">
        <f t="shared" si="13"/>
        <v>456</v>
      </c>
      <c r="F97" s="6"/>
      <c r="U97" t="s">
        <v>34</v>
      </c>
      <c r="V97" t="s">
        <v>30</v>
      </c>
      <c r="W97">
        <v>49</v>
      </c>
      <c r="X97" t="s">
        <v>31</v>
      </c>
      <c r="Y97" s="27" t="s">
        <v>32</v>
      </c>
      <c r="Z97" s="26">
        <f t="shared" si="10"/>
        <v>456</v>
      </c>
      <c r="AA97" t="s">
        <v>35</v>
      </c>
      <c r="AB97" s="26">
        <f t="shared" si="14"/>
        <v>10</v>
      </c>
      <c r="AD97">
        <v>49</v>
      </c>
      <c r="AE97">
        <f t="shared" si="8"/>
        <v>29</v>
      </c>
      <c r="AF97" s="20">
        <f t="shared" si="9"/>
        <v>269</v>
      </c>
      <c r="AG97" t="s">
        <v>33</v>
      </c>
    </row>
    <row r="98" spans="1:33">
      <c r="A98" s="17">
        <f>'R-T Table'!A99</f>
        <v>50</v>
      </c>
      <c r="B98" s="18">
        <f>'R-T Table'!C99</f>
        <v>17.940999999999999</v>
      </c>
      <c r="C98" s="7">
        <f t="shared" si="11"/>
        <v>1.047327039251996</v>
      </c>
      <c r="D98" s="19">
        <f t="shared" si="12"/>
        <v>0.45535958228347656</v>
      </c>
      <c r="E98" s="20">
        <f t="shared" si="13"/>
        <v>466</v>
      </c>
      <c r="F98" s="6"/>
      <c r="U98" t="s">
        <v>34</v>
      </c>
      <c r="V98" t="s">
        <v>30</v>
      </c>
      <c r="W98">
        <v>50</v>
      </c>
      <c r="X98" t="s">
        <v>31</v>
      </c>
      <c r="Y98" s="27" t="s">
        <v>32</v>
      </c>
      <c r="Z98" s="26">
        <f t="shared" si="10"/>
        <v>466</v>
      </c>
      <c r="AA98" t="s">
        <v>35</v>
      </c>
      <c r="AB98" s="26">
        <f t="shared" si="14"/>
        <v>10</v>
      </c>
      <c r="AD98">
        <v>50</v>
      </c>
      <c r="AE98">
        <f t="shared" si="8"/>
        <v>30</v>
      </c>
      <c r="AF98" s="20">
        <f t="shared" si="9"/>
        <v>278</v>
      </c>
      <c r="AG98" t="s">
        <v>33</v>
      </c>
    </row>
    <row r="99" spans="1:33">
      <c r="A99" s="17">
        <f>'R-T Table'!A100</f>
        <v>51</v>
      </c>
      <c r="B99" s="18">
        <f>'R-T Table'!C100</f>
        <v>17.268999999999998</v>
      </c>
      <c r="C99" s="7">
        <f t="shared" si="11"/>
        <v>1.0691375623663579</v>
      </c>
      <c r="D99" s="19">
        <f t="shared" si="12"/>
        <v>0.46484241842015567</v>
      </c>
      <c r="E99" s="20">
        <f t="shared" si="13"/>
        <v>476</v>
      </c>
      <c r="F99" s="6"/>
      <c r="U99" t="s">
        <v>34</v>
      </c>
      <c r="V99" t="s">
        <v>30</v>
      </c>
      <c r="W99">
        <v>51</v>
      </c>
      <c r="X99" t="s">
        <v>31</v>
      </c>
      <c r="Y99" s="27" t="s">
        <v>32</v>
      </c>
      <c r="Z99" s="26">
        <f t="shared" si="10"/>
        <v>476</v>
      </c>
      <c r="AA99" t="s">
        <v>35</v>
      </c>
      <c r="AB99" s="26">
        <f t="shared" si="14"/>
        <v>10</v>
      </c>
      <c r="AD99">
        <v>51</v>
      </c>
      <c r="AE99">
        <f t="shared" si="8"/>
        <v>31</v>
      </c>
      <c r="AF99" s="20">
        <f t="shared" si="9"/>
        <v>286</v>
      </c>
      <c r="AG99" t="s">
        <v>33</v>
      </c>
    </row>
    <row r="100" spans="1:33">
      <c r="A100" s="17">
        <f>'R-T Table'!A101</f>
        <v>52</v>
      </c>
      <c r="B100" s="18">
        <f>'R-T Table'!C101</f>
        <v>16.625</v>
      </c>
      <c r="C100" s="7">
        <f t="shared" si="11"/>
        <v>1.0909090909090908</v>
      </c>
      <c r="D100" s="19">
        <f t="shared" si="12"/>
        <v>0.4743083003952569</v>
      </c>
      <c r="E100" s="20">
        <f t="shared" si="13"/>
        <v>485</v>
      </c>
      <c r="F100" s="6"/>
      <c r="U100" t="s">
        <v>34</v>
      </c>
      <c r="V100" t="s">
        <v>30</v>
      </c>
      <c r="W100">
        <v>52</v>
      </c>
      <c r="X100" t="s">
        <v>31</v>
      </c>
      <c r="Y100" s="27" t="s">
        <v>32</v>
      </c>
      <c r="Z100" s="26">
        <f t="shared" si="10"/>
        <v>485</v>
      </c>
      <c r="AA100" t="s">
        <v>35</v>
      </c>
      <c r="AB100" s="26">
        <f t="shared" si="14"/>
        <v>9</v>
      </c>
      <c r="AD100">
        <v>52</v>
      </c>
      <c r="AE100">
        <f t="shared" si="8"/>
        <v>32</v>
      </c>
      <c r="AF100" s="20">
        <f t="shared" si="9"/>
        <v>295</v>
      </c>
      <c r="AG100" t="s">
        <v>33</v>
      </c>
    </row>
    <row r="101" spans="1:33">
      <c r="A101" s="17">
        <f>'R-T Table'!A102</f>
        <v>53</v>
      </c>
      <c r="B101" s="18">
        <f>'R-T Table'!C102</f>
        <v>16.007999999999999</v>
      </c>
      <c r="C101" s="7">
        <f t="shared" si="11"/>
        <v>1.1126160990712075</v>
      </c>
      <c r="D101" s="19">
        <f t="shared" si="12"/>
        <v>0.48374613003095984</v>
      </c>
      <c r="E101" s="20">
        <f t="shared" si="13"/>
        <v>495</v>
      </c>
      <c r="F101" s="6"/>
      <c r="U101" t="s">
        <v>34</v>
      </c>
      <c r="V101" t="s">
        <v>30</v>
      </c>
      <c r="W101">
        <v>53</v>
      </c>
      <c r="X101" t="s">
        <v>31</v>
      </c>
      <c r="Y101" s="27" t="s">
        <v>32</v>
      </c>
      <c r="Z101" s="26">
        <f t="shared" si="10"/>
        <v>495</v>
      </c>
      <c r="AA101" t="s">
        <v>35</v>
      </c>
      <c r="AB101" s="26">
        <f t="shared" si="14"/>
        <v>10</v>
      </c>
      <c r="AD101">
        <v>53</v>
      </c>
      <c r="AE101">
        <f t="shared" si="8"/>
        <v>33</v>
      </c>
      <c r="AF101" s="20">
        <f t="shared" si="9"/>
        <v>304</v>
      </c>
      <c r="AG101" t="s">
        <v>33</v>
      </c>
    </row>
    <row r="102" spans="1:33">
      <c r="A102" s="17">
        <f>'R-T Table'!A103</f>
        <v>54</v>
      </c>
      <c r="B102" s="18">
        <f>'R-T Table'!C103</f>
        <v>15.417</v>
      </c>
      <c r="C102" s="7">
        <f t="shared" si="11"/>
        <v>1.1342341453792286</v>
      </c>
      <c r="D102" s="19">
        <f t="shared" si="12"/>
        <v>0.49314528059966467</v>
      </c>
      <c r="E102" s="20">
        <f t="shared" si="13"/>
        <v>504</v>
      </c>
      <c r="F102" s="6"/>
      <c r="U102" t="s">
        <v>34</v>
      </c>
      <c r="V102" t="s">
        <v>30</v>
      </c>
      <c r="W102">
        <v>54</v>
      </c>
      <c r="X102" t="s">
        <v>31</v>
      </c>
      <c r="Y102" s="27" t="s">
        <v>32</v>
      </c>
      <c r="Z102" s="26">
        <f t="shared" si="10"/>
        <v>504</v>
      </c>
      <c r="AA102" t="s">
        <v>35</v>
      </c>
      <c r="AB102" s="26">
        <f t="shared" si="14"/>
        <v>9</v>
      </c>
      <c r="AD102">
        <v>54</v>
      </c>
      <c r="AE102">
        <f t="shared" si="8"/>
        <v>34</v>
      </c>
      <c r="AF102" s="20">
        <f t="shared" si="9"/>
        <v>313</v>
      </c>
      <c r="AG102" t="s">
        <v>33</v>
      </c>
    </row>
    <row r="103" spans="1:33">
      <c r="A103" s="17">
        <f>'R-T Table'!A104</f>
        <v>55</v>
      </c>
      <c r="B103" s="18">
        <f>'R-T Table'!C104</f>
        <v>14.851000000000001</v>
      </c>
      <c r="C103" s="7">
        <f t="shared" si="11"/>
        <v>1.1557401762085022</v>
      </c>
      <c r="D103" s="19">
        <f t="shared" si="12"/>
        <v>0.50249572878630533</v>
      </c>
      <c r="E103" s="20">
        <f t="shared" si="13"/>
        <v>514</v>
      </c>
      <c r="F103" s="6"/>
      <c r="U103" t="s">
        <v>34</v>
      </c>
      <c r="V103" t="s">
        <v>30</v>
      </c>
      <c r="W103">
        <v>55</v>
      </c>
      <c r="X103" t="s">
        <v>31</v>
      </c>
      <c r="Y103" s="27" t="s">
        <v>32</v>
      </c>
      <c r="Z103" s="26">
        <f t="shared" si="10"/>
        <v>514</v>
      </c>
      <c r="AA103" t="s">
        <v>35</v>
      </c>
      <c r="AB103" s="26">
        <f t="shared" si="14"/>
        <v>10</v>
      </c>
      <c r="AD103">
        <v>55</v>
      </c>
      <c r="AE103">
        <f t="shared" si="8"/>
        <v>35</v>
      </c>
      <c r="AF103" s="20">
        <f t="shared" si="9"/>
        <v>322</v>
      </c>
      <c r="AG103" t="s">
        <v>33</v>
      </c>
    </row>
    <row r="104" spans="1:33">
      <c r="A104" s="17">
        <f>'R-T Table'!A105</f>
        <v>56</v>
      </c>
      <c r="B104" s="18">
        <f>'R-T Table'!C105</f>
        <v>14.308999999999999</v>
      </c>
      <c r="C104" s="7">
        <f t="shared" ref="C104:C135" si="15">$B$2*$B$3/(B104+$B$3)</f>
        <v>1.1771128322358322</v>
      </c>
      <c r="D104" s="19">
        <f t="shared" ref="D104:D135" si="16">C104/$B$2</f>
        <v>0.51178818792862268</v>
      </c>
      <c r="E104" s="20">
        <f t="shared" ref="E104:E135" si="17">ROUND(D104*(2^$B$4-1),0)</f>
        <v>524</v>
      </c>
      <c r="F104" s="6"/>
      <c r="U104" t="s">
        <v>34</v>
      </c>
      <c r="V104" t="s">
        <v>30</v>
      </c>
      <c r="W104">
        <v>56</v>
      </c>
      <c r="X104" t="s">
        <v>31</v>
      </c>
      <c r="Y104" s="27" t="s">
        <v>32</v>
      </c>
      <c r="Z104" s="26">
        <f t="shared" si="10"/>
        <v>524</v>
      </c>
      <c r="AA104" t="s">
        <v>35</v>
      </c>
      <c r="AB104" s="26">
        <f t="shared" si="14"/>
        <v>10</v>
      </c>
      <c r="AD104">
        <v>56</v>
      </c>
      <c r="AE104">
        <f t="shared" si="8"/>
        <v>36</v>
      </c>
      <c r="AF104" s="20">
        <f t="shared" si="9"/>
        <v>331</v>
      </c>
      <c r="AG104" t="s">
        <v>33</v>
      </c>
    </row>
    <row r="105" spans="1:33">
      <c r="A105" s="17">
        <f>'R-T Table'!A106</f>
        <v>57</v>
      </c>
      <c r="B105" s="18">
        <f>'R-T Table'!C106</f>
        <v>13.789</v>
      </c>
      <c r="C105" s="7">
        <f t="shared" si="15"/>
        <v>1.1983743791031296</v>
      </c>
      <c r="D105" s="19">
        <f t="shared" si="16"/>
        <v>0.52103233874049115</v>
      </c>
      <c r="E105" s="20">
        <f t="shared" si="17"/>
        <v>533</v>
      </c>
      <c r="F105" s="6"/>
      <c r="U105" t="s">
        <v>34</v>
      </c>
      <c r="V105" t="s">
        <v>30</v>
      </c>
      <c r="W105">
        <v>57</v>
      </c>
      <c r="X105" t="s">
        <v>31</v>
      </c>
      <c r="Y105" s="27" t="s">
        <v>32</v>
      </c>
      <c r="Z105" s="26">
        <f t="shared" si="10"/>
        <v>533</v>
      </c>
      <c r="AA105" t="s">
        <v>35</v>
      </c>
      <c r="AB105" s="26">
        <f t="shared" si="14"/>
        <v>9</v>
      </c>
      <c r="AD105">
        <v>57</v>
      </c>
      <c r="AE105">
        <f t="shared" si="8"/>
        <v>37</v>
      </c>
      <c r="AF105" s="20">
        <f t="shared" si="9"/>
        <v>341</v>
      </c>
      <c r="AG105" t="s">
        <v>33</v>
      </c>
    </row>
    <row r="106" spans="1:33">
      <c r="A106" s="17">
        <f>'R-T Table'!A107</f>
        <v>58</v>
      </c>
      <c r="B106" s="18">
        <f>'R-T Table'!C107</f>
        <v>13.291</v>
      </c>
      <c r="C106" s="7">
        <f t="shared" si="15"/>
        <v>1.2194690891096107</v>
      </c>
      <c r="D106" s="19">
        <f t="shared" si="16"/>
        <v>0.53020395178678725</v>
      </c>
      <c r="E106" s="20">
        <f t="shared" si="17"/>
        <v>542</v>
      </c>
      <c r="F106" s="6"/>
      <c r="U106" t="s">
        <v>34</v>
      </c>
      <c r="V106" t="s">
        <v>30</v>
      </c>
      <c r="W106">
        <v>58</v>
      </c>
      <c r="X106" t="s">
        <v>31</v>
      </c>
      <c r="Y106" s="27" t="s">
        <v>32</v>
      </c>
      <c r="Z106" s="26">
        <f t="shared" si="10"/>
        <v>542</v>
      </c>
      <c r="AA106" t="s">
        <v>35</v>
      </c>
      <c r="AB106" s="26">
        <f t="shared" si="14"/>
        <v>9</v>
      </c>
      <c r="AD106">
        <v>58</v>
      </c>
      <c r="AE106">
        <f t="shared" si="8"/>
        <v>38</v>
      </c>
      <c r="AF106" s="20">
        <f t="shared" si="9"/>
        <v>350</v>
      </c>
      <c r="AG106" t="s">
        <v>33</v>
      </c>
    </row>
    <row r="107" spans="1:33">
      <c r="A107" s="17">
        <f>'R-T Table'!A108</f>
        <v>59</v>
      </c>
      <c r="B107" s="18">
        <f>'R-T Table'!C108</f>
        <v>12.813000000000001</v>
      </c>
      <c r="C107" s="7">
        <f t="shared" si="15"/>
        <v>1.2404271383885233</v>
      </c>
      <c r="D107" s="19">
        <f t="shared" si="16"/>
        <v>0.53931614712544496</v>
      </c>
      <c r="E107" s="20">
        <f t="shared" si="17"/>
        <v>552</v>
      </c>
      <c r="F107" s="6"/>
      <c r="U107" t="s">
        <v>34</v>
      </c>
      <c r="V107" t="s">
        <v>30</v>
      </c>
      <c r="W107">
        <v>59</v>
      </c>
      <c r="X107" t="s">
        <v>31</v>
      </c>
      <c r="Y107" s="27" t="s">
        <v>32</v>
      </c>
      <c r="Z107" s="26">
        <f t="shared" si="10"/>
        <v>552</v>
      </c>
      <c r="AA107" t="s">
        <v>35</v>
      </c>
      <c r="AB107" s="26">
        <f t="shared" si="14"/>
        <v>10</v>
      </c>
      <c r="AD107">
        <v>59</v>
      </c>
      <c r="AE107">
        <f t="shared" si="8"/>
        <v>39</v>
      </c>
      <c r="AF107" s="20">
        <f t="shared" si="9"/>
        <v>359</v>
      </c>
      <c r="AG107" t="s">
        <v>33</v>
      </c>
    </row>
    <row r="108" spans="1:33">
      <c r="A108" s="17">
        <f>'R-T Table'!A109</f>
        <v>60</v>
      </c>
      <c r="B108" s="18">
        <f>'R-T Table'!C109</f>
        <v>12.355</v>
      </c>
      <c r="C108" s="7">
        <f t="shared" si="15"/>
        <v>1.2611953938950831</v>
      </c>
      <c r="D108" s="19">
        <f t="shared" si="16"/>
        <v>0.54834582343264482</v>
      </c>
      <c r="E108" s="20">
        <f t="shared" si="17"/>
        <v>561</v>
      </c>
      <c r="F108" s="6"/>
      <c r="U108" t="s">
        <v>34</v>
      </c>
      <c r="V108" t="s">
        <v>30</v>
      </c>
      <c r="W108">
        <v>60</v>
      </c>
      <c r="X108" t="s">
        <v>31</v>
      </c>
      <c r="Y108" s="27" t="s">
        <v>32</v>
      </c>
      <c r="Z108" s="26">
        <f t="shared" si="10"/>
        <v>561</v>
      </c>
      <c r="AA108" t="s">
        <v>35</v>
      </c>
      <c r="AB108" s="26">
        <f t="shared" si="14"/>
        <v>9</v>
      </c>
      <c r="AD108">
        <v>60</v>
      </c>
      <c r="AE108">
        <f t="shared" si="8"/>
        <v>40</v>
      </c>
      <c r="AF108" s="20">
        <f t="shared" si="9"/>
        <v>369</v>
      </c>
      <c r="AG108" t="s">
        <v>33</v>
      </c>
    </row>
    <row r="109" spans="1:33">
      <c r="A109" s="17">
        <f>'R-T Table'!A110</f>
        <v>61</v>
      </c>
      <c r="B109" s="18">
        <f>'R-T Table'!C110</f>
        <v>11.914999999999999</v>
      </c>
      <c r="C109" s="7">
        <f t="shared" si="15"/>
        <v>1.2818131153631804</v>
      </c>
      <c r="D109" s="19">
        <f t="shared" si="16"/>
        <v>0.55731005015790458</v>
      </c>
      <c r="E109" s="20">
        <f t="shared" si="17"/>
        <v>570</v>
      </c>
      <c r="F109" s="6"/>
      <c r="U109" t="s">
        <v>34</v>
      </c>
      <c r="V109" t="s">
        <v>30</v>
      </c>
      <c r="W109">
        <v>61</v>
      </c>
      <c r="X109" t="s">
        <v>31</v>
      </c>
      <c r="Y109" s="27" t="s">
        <v>32</v>
      </c>
      <c r="Z109" s="26">
        <f t="shared" si="10"/>
        <v>570</v>
      </c>
      <c r="AA109" t="s">
        <v>35</v>
      </c>
      <c r="AB109" s="26">
        <f t="shared" si="14"/>
        <v>9</v>
      </c>
      <c r="AD109">
        <v>61</v>
      </c>
      <c r="AE109">
        <f t="shared" si="8"/>
        <v>41</v>
      </c>
      <c r="AF109" s="20">
        <f t="shared" si="9"/>
        <v>379</v>
      </c>
      <c r="AG109" t="s">
        <v>33</v>
      </c>
    </row>
    <row r="110" spans="1:33">
      <c r="A110" s="17">
        <f>'R-T Table'!A111</f>
        <v>62</v>
      </c>
      <c r="B110" s="18">
        <f>'R-T Table'!C111</f>
        <v>11.493</v>
      </c>
      <c r="C110" s="7">
        <f t="shared" si="15"/>
        <v>1.3022307779413429</v>
      </c>
      <c r="D110" s="19">
        <f t="shared" si="16"/>
        <v>0.56618729475710561</v>
      </c>
      <c r="E110" s="20">
        <f t="shared" si="17"/>
        <v>579</v>
      </c>
      <c r="F110" s="6"/>
      <c r="U110" t="s">
        <v>34</v>
      </c>
      <c r="V110" t="s">
        <v>30</v>
      </c>
      <c r="W110">
        <v>62</v>
      </c>
      <c r="X110" t="s">
        <v>31</v>
      </c>
      <c r="Y110" s="27" t="s">
        <v>32</v>
      </c>
      <c r="Z110" s="26">
        <f t="shared" si="10"/>
        <v>579</v>
      </c>
      <c r="AA110" t="s">
        <v>35</v>
      </c>
      <c r="AB110" s="26">
        <f t="shared" si="14"/>
        <v>9</v>
      </c>
      <c r="AD110">
        <v>62</v>
      </c>
      <c r="AE110">
        <f t="shared" si="8"/>
        <v>42</v>
      </c>
      <c r="AF110" s="20">
        <f t="shared" si="9"/>
        <v>388</v>
      </c>
      <c r="AG110" t="s">
        <v>33</v>
      </c>
    </row>
    <row r="111" spans="1:33">
      <c r="A111" s="17">
        <f>'R-T Table'!A112</f>
        <v>63</v>
      </c>
      <c r="B111" s="18">
        <f>'R-T Table'!C112</f>
        <v>11.087999999999999</v>
      </c>
      <c r="C111" s="7">
        <f t="shared" si="15"/>
        <v>1.3224471021159152</v>
      </c>
      <c r="D111" s="19">
        <f t="shared" si="16"/>
        <v>0.57497700091996318</v>
      </c>
      <c r="E111" s="20">
        <f t="shared" si="17"/>
        <v>588</v>
      </c>
      <c r="F111" s="6"/>
      <c r="U111" t="s">
        <v>34</v>
      </c>
      <c r="V111" t="s">
        <v>30</v>
      </c>
      <c r="W111">
        <v>63</v>
      </c>
      <c r="X111" t="s">
        <v>31</v>
      </c>
      <c r="Y111" s="27" t="s">
        <v>32</v>
      </c>
      <c r="Z111" s="26">
        <f t="shared" si="10"/>
        <v>588</v>
      </c>
      <c r="AA111" t="s">
        <v>35</v>
      </c>
      <c r="AB111" s="26">
        <f t="shared" si="14"/>
        <v>9</v>
      </c>
      <c r="AD111">
        <v>63</v>
      </c>
      <c r="AE111">
        <f t="shared" si="8"/>
        <v>43</v>
      </c>
      <c r="AF111" s="20">
        <f t="shared" si="9"/>
        <v>398</v>
      </c>
      <c r="AG111" t="s">
        <v>33</v>
      </c>
    </row>
    <row r="112" spans="1:33">
      <c r="A112" s="17">
        <f>'R-T Table'!A113</f>
        <v>64</v>
      </c>
      <c r="B112" s="18">
        <f>'R-T Table'!C113</f>
        <v>10.7</v>
      </c>
      <c r="C112" s="7">
        <f t="shared" si="15"/>
        <v>1.3424124513618678</v>
      </c>
      <c r="D112" s="19">
        <f t="shared" si="16"/>
        <v>0.58365758754863828</v>
      </c>
      <c r="E112" s="20">
        <f t="shared" si="17"/>
        <v>597</v>
      </c>
      <c r="F112" s="6"/>
      <c r="U112" t="s">
        <v>34</v>
      </c>
      <c r="V112" t="s">
        <v>30</v>
      </c>
      <c r="W112">
        <v>64</v>
      </c>
      <c r="X112" t="s">
        <v>31</v>
      </c>
      <c r="Y112" s="27" t="s">
        <v>32</v>
      </c>
      <c r="Z112" s="26">
        <f t="shared" si="10"/>
        <v>597</v>
      </c>
      <c r="AA112" t="s">
        <v>35</v>
      </c>
      <c r="AB112" s="26">
        <f t="shared" si="14"/>
        <v>9</v>
      </c>
      <c r="AD112">
        <v>64</v>
      </c>
      <c r="AE112">
        <f t="shared" si="8"/>
        <v>44</v>
      </c>
      <c r="AF112" s="20">
        <f t="shared" si="9"/>
        <v>407</v>
      </c>
      <c r="AG112" t="s">
        <v>33</v>
      </c>
    </row>
    <row r="113" spans="1:33">
      <c r="A113" s="17">
        <f>'R-T Table'!A114</f>
        <v>65</v>
      </c>
      <c r="B113" s="18">
        <f>'R-T Table'!C114</f>
        <v>10.327</v>
      </c>
      <c r="C113" s="7">
        <f t="shared" si="15"/>
        <v>1.3621826509258894</v>
      </c>
      <c r="D113" s="19">
        <f t="shared" si="16"/>
        <v>0.59225332648951723</v>
      </c>
      <c r="E113" s="20">
        <f t="shared" si="17"/>
        <v>606</v>
      </c>
      <c r="F113" s="6"/>
      <c r="U113" t="s">
        <v>34</v>
      </c>
      <c r="V113" t="s">
        <v>30</v>
      </c>
      <c r="W113">
        <v>65</v>
      </c>
      <c r="X113" t="s">
        <v>31</v>
      </c>
      <c r="Y113" s="27" t="s">
        <v>32</v>
      </c>
      <c r="Z113" s="26">
        <f t="shared" si="10"/>
        <v>606</v>
      </c>
      <c r="AA113" t="s">
        <v>35</v>
      </c>
      <c r="AB113" s="26">
        <f t="shared" si="14"/>
        <v>9</v>
      </c>
      <c r="AD113">
        <v>65</v>
      </c>
      <c r="AE113">
        <f t="shared" ref="AE113:AE176" si="18">A93</f>
        <v>45</v>
      </c>
      <c r="AF113" s="20">
        <f t="shared" ref="AF113:AF176" si="19">E93</f>
        <v>417</v>
      </c>
      <c r="AG113" t="s">
        <v>33</v>
      </c>
    </row>
    <row r="114" spans="1:33">
      <c r="A114" s="17">
        <f>'R-T Table'!A115</f>
        <v>66</v>
      </c>
      <c r="B114" s="18">
        <f>'R-T Table'!C115</f>
        <v>9.968</v>
      </c>
      <c r="C114" s="7">
        <f t="shared" si="15"/>
        <v>1.3817686638897788</v>
      </c>
      <c r="D114" s="19">
        <f t="shared" si="16"/>
        <v>0.60076898429990389</v>
      </c>
      <c r="E114" s="20">
        <f t="shared" si="17"/>
        <v>615</v>
      </c>
      <c r="F114" s="6"/>
      <c r="U114" t="s">
        <v>34</v>
      </c>
      <c r="V114" t="s">
        <v>30</v>
      </c>
      <c r="W114">
        <v>66</v>
      </c>
      <c r="X114" t="s">
        <v>31</v>
      </c>
      <c r="Y114" s="27" t="s">
        <v>32</v>
      </c>
      <c r="Z114" s="26">
        <f t="shared" si="10"/>
        <v>615</v>
      </c>
      <c r="AA114" t="s">
        <v>35</v>
      </c>
      <c r="AB114" s="26">
        <f t="shared" si="14"/>
        <v>9</v>
      </c>
      <c r="AD114">
        <v>66</v>
      </c>
      <c r="AE114">
        <f t="shared" si="18"/>
        <v>46</v>
      </c>
      <c r="AF114" s="20">
        <f t="shared" si="19"/>
        <v>427</v>
      </c>
      <c r="AG114" t="s">
        <v>33</v>
      </c>
    </row>
    <row r="115" spans="1:33">
      <c r="A115" s="17">
        <f>'R-T Table'!A116</f>
        <v>67</v>
      </c>
      <c r="B115" s="18">
        <f>'R-T Table'!C116</f>
        <v>9.6240000000000006</v>
      </c>
      <c r="C115" s="7">
        <f t="shared" si="15"/>
        <v>1.4010721247563351</v>
      </c>
      <c r="D115" s="19">
        <f t="shared" si="16"/>
        <v>0.60916179337231968</v>
      </c>
      <c r="E115" s="20">
        <f t="shared" si="17"/>
        <v>623</v>
      </c>
      <c r="F115" s="6"/>
      <c r="U115" t="s">
        <v>34</v>
      </c>
      <c r="V115" t="s">
        <v>30</v>
      </c>
      <c r="W115">
        <v>67</v>
      </c>
      <c r="X115" t="s">
        <v>31</v>
      </c>
      <c r="Y115" s="27" t="s">
        <v>32</v>
      </c>
      <c r="Z115" s="26">
        <f t="shared" ref="Z115:Z154" si="20">E115</f>
        <v>623</v>
      </c>
      <c r="AA115" t="s">
        <v>35</v>
      </c>
      <c r="AB115" s="26">
        <f t="shared" si="14"/>
        <v>8</v>
      </c>
      <c r="AD115">
        <v>67</v>
      </c>
      <c r="AE115">
        <f t="shared" si="18"/>
        <v>47</v>
      </c>
      <c r="AF115" s="20">
        <f t="shared" si="19"/>
        <v>437</v>
      </c>
      <c r="AG115" t="s">
        <v>33</v>
      </c>
    </row>
    <row r="116" spans="1:33">
      <c r="A116" s="17">
        <f>'R-T Table'!A117</f>
        <v>68</v>
      </c>
      <c r="B116" s="18">
        <f>'R-T Table'!C117</f>
        <v>9.2940000000000005</v>
      </c>
      <c r="C116" s="7">
        <f t="shared" si="15"/>
        <v>1.4201037293158805</v>
      </c>
      <c r="D116" s="19">
        <f t="shared" si="16"/>
        <v>0.61743640405038291</v>
      </c>
      <c r="E116" s="20">
        <f t="shared" si="17"/>
        <v>632</v>
      </c>
      <c r="F116" s="6"/>
      <c r="U116" t="s">
        <v>34</v>
      </c>
      <c r="V116" t="s">
        <v>30</v>
      </c>
      <c r="W116">
        <v>68</v>
      </c>
      <c r="X116" t="s">
        <v>31</v>
      </c>
      <c r="Y116" s="27" t="s">
        <v>32</v>
      </c>
      <c r="Z116" s="26">
        <f t="shared" si="20"/>
        <v>632</v>
      </c>
      <c r="AA116" t="s">
        <v>35</v>
      </c>
      <c r="AB116" s="26">
        <f t="shared" si="14"/>
        <v>9</v>
      </c>
      <c r="AD116">
        <v>68</v>
      </c>
      <c r="AE116">
        <f t="shared" si="18"/>
        <v>48</v>
      </c>
      <c r="AF116" s="20">
        <f t="shared" si="19"/>
        <v>446</v>
      </c>
      <c r="AG116" t="s">
        <v>33</v>
      </c>
    </row>
    <row r="117" spans="1:33">
      <c r="A117" s="17">
        <f>'R-T Table'!A118</f>
        <v>69</v>
      </c>
      <c r="B117" s="18">
        <f>'R-T Table'!C118</f>
        <v>8.9760000000000009</v>
      </c>
      <c r="C117" s="7">
        <f t="shared" si="15"/>
        <v>1.4389389389389391</v>
      </c>
      <c r="D117" s="19">
        <f t="shared" si="16"/>
        <v>0.62562562562562574</v>
      </c>
      <c r="E117" s="20">
        <f t="shared" si="17"/>
        <v>640</v>
      </c>
      <c r="F117" s="6"/>
      <c r="U117" t="s">
        <v>34</v>
      </c>
      <c r="V117" t="s">
        <v>30</v>
      </c>
      <c r="W117">
        <v>69</v>
      </c>
      <c r="X117" t="s">
        <v>31</v>
      </c>
      <c r="Y117" s="27" t="s">
        <v>32</v>
      </c>
      <c r="Z117" s="26">
        <f t="shared" si="20"/>
        <v>640</v>
      </c>
      <c r="AA117" t="s">
        <v>35</v>
      </c>
      <c r="AB117" s="26">
        <f t="shared" si="14"/>
        <v>8</v>
      </c>
      <c r="AD117">
        <v>69</v>
      </c>
      <c r="AE117">
        <f t="shared" si="18"/>
        <v>49</v>
      </c>
      <c r="AF117" s="20">
        <f t="shared" si="19"/>
        <v>456</v>
      </c>
      <c r="AG117" t="s">
        <v>33</v>
      </c>
    </row>
    <row r="118" spans="1:33">
      <c r="A118" s="17">
        <f>'R-T Table'!A119</f>
        <v>70</v>
      </c>
      <c r="B118" s="18">
        <f>'R-T Table'!C119</f>
        <v>8.6709999999999994</v>
      </c>
      <c r="C118" s="7">
        <f t="shared" si="15"/>
        <v>1.4574796164082633</v>
      </c>
      <c r="D118" s="19">
        <f t="shared" si="16"/>
        <v>0.63368678974272319</v>
      </c>
      <c r="E118" s="20">
        <f t="shared" si="17"/>
        <v>648</v>
      </c>
      <c r="F118" s="6"/>
      <c r="U118" t="s">
        <v>34</v>
      </c>
      <c r="V118" t="s">
        <v>30</v>
      </c>
      <c r="W118">
        <v>70</v>
      </c>
      <c r="X118" t="s">
        <v>31</v>
      </c>
      <c r="Y118" s="27" t="s">
        <v>32</v>
      </c>
      <c r="Z118" s="26">
        <f t="shared" si="20"/>
        <v>648</v>
      </c>
      <c r="AA118" t="s">
        <v>35</v>
      </c>
      <c r="AB118" s="26">
        <f t="shared" si="14"/>
        <v>8</v>
      </c>
      <c r="AD118">
        <v>70</v>
      </c>
      <c r="AE118">
        <f t="shared" si="18"/>
        <v>50</v>
      </c>
      <c r="AF118" s="20">
        <f t="shared" si="19"/>
        <v>466</v>
      </c>
      <c r="AG118" t="s">
        <v>33</v>
      </c>
    </row>
    <row r="119" spans="1:33">
      <c r="A119" s="17">
        <f>'R-T Table'!A120</f>
        <v>71</v>
      </c>
      <c r="B119" s="18">
        <f>'R-T Table'!C120</f>
        <v>8.3780000000000001</v>
      </c>
      <c r="C119" s="7">
        <f t="shared" si="15"/>
        <v>1.475746428265891</v>
      </c>
      <c r="D119" s="19">
        <f t="shared" si="16"/>
        <v>0.64162888185473521</v>
      </c>
      <c r="E119" s="20">
        <f t="shared" si="17"/>
        <v>656</v>
      </c>
      <c r="F119" s="6"/>
      <c r="U119" t="s">
        <v>34</v>
      </c>
      <c r="V119" t="s">
        <v>30</v>
      </c>
      <c r="W119">
        <v>71</v>
      </c>
      <c r="X119" t="s">
        <v>31</v>
      </c>
      <c r="Y119" s="27" t="s">
        <v>32</v>
      </c>
      <c r="Z119" s="26">
        <f t="shared" si="20"/>
        <v>656</v>
      </c>
      <c r="AA119" t="s">
        <v>35</v>
      </c>
      <c r="AB119" s="26">
        <f t="shared" si="14"/>
        <v>8</v>
      </c>
      <c r="AD119">
        <v>71</v>
      </c>
      <c r="AE119">
        <f t="shared" si="18"/>
        <v>51</v>
      </c>
      <c r="AF119" s="20">
        <f t="shared" si="19"/>
        <v>476</v>
      </c>
      <c r="AG119" t="s">
        <v>33</v>
      </c>
    </row>
    <row r="120" spans="1:33">
      <c r="A120" s="17">
        <f>'R-T Table'!A121</f>
        <v>72</v>
      </c>
      <c r="B120" s="18">
        <f>'R-T Table'!C121</f>
        <v>8.0960000000000001</v>
      </c>
      <c r="C120" s="7">
        <f t="shared" si="15"/>
        <v>1.4937651541392449</v>
      </c>
      <c r="D120" s="19">
        <f t="shared" si="16"/>
        <v>0.6494631104953239</v>
      </c>
      <c r="E120" s="20">
        <f t="shared" si="17"/>
        <v>664</v>
      </c>
      <c r="F120" s="6"/>
      <c r="U120" t="s">
        <v>34</v>
      </c>
      <c r="V120" t="s">
        <v>30</v>
      </c>
      <c r="W120">
        <v>72</v>
      </c>
      <c r="X120" t="s">
        <v>31</v>
      </c>
      <c r="Y120" s="27" t="s">
        <v>32</v>
      </c>
      <c r="Z120" s="26">
        <f t="shared" si="20"/>
        <v>664</v>
      </c>
      <c r="AA120" t="s">
        <v>35</v>
      </c>
      <c r="AB120" s="26">
        <f t="shared" si="14"/>
        <v>8</v>
      </c>
      <c r="AD120">
        <v>72</v>
      </c>
      <c r="AE120">
        <f t="shared" si="18"/>
        <v>52</v>
      </c>
      <c r="AF120" s="20">
        <f t="shared" si="19"/>
        <v>485</v>
      </c>
      <c r="AG120" t="s">
        <v>33</v>
      </c>
    </row>
    <row r="121" spans="1:33">
      <c r="A121" s="17">
        <f>'R-T Table'!A122</f>
        <v>73</v>
      </c>
      <c r="B121" s="18">
        <f>'R-T Table'!C122</f>
        <v>7.8250000000000002</v>
      </c>
      <c r="C121" s="7">
        <f t="shared" si="15"/>
        <v>1.511500547645126</v>
      </c>
      <c r="D121" s="19">
        <f t="shared" si="16"/>
        <v>0.65717415115005484</v>
      </c>
      <c r="E121" s="20">
        <f t="shared" si="17"/>
        <v>672</v>
      </c>
      <c r="F121" s="6"/>
      <c r="U121" t="s">
        <v>34</v>
      </c>
      <c r="V121" t="s">
        <v>30</v>
      </c>
      <c r="W121">
        <v>73</v>
      </c>
      <c r="X121" t="s">
        <v>31</v>
      </c>
      <c r="Y121" s="27" t="s">
        <v>32</v>
      </c>
      <c r="Z121" s="26">
        <f t="shared" si="20"/>
        <v>672</v>
      </c>
      <c r="AA121" t="s">
        <v>35</v>
      </c>
      <c r="AB121" s="26">
        <f t="shared" si="14"/>
        <v>8</v>
      </c>
      <c r="AD121">
        <v>73</v>
      </c>
      <c r="AE121">
        <f t="shared" si="18"/>
        <v>53</v>
      </c>
      <c r="AF121" s="20">
        <f t="shared" si="19"/>
        <v>495</v>
      </c>
      <c r="AG121" t="s">
        <v>33</v>
      </c>
    </row>
    <row r="122" spans="1:33">
      <c r="A122" s="17">
        <f>'R-T Table'!A123</f>
        <v>74</v>
      </c>
      <c r="B122" s="18">
        <f>'R-T Table'!C123</f>
        <v>7.5640000000000001</v>
      </c>
      <c r="C122" s="7">
        <f t="shared" si="15"/>
        <v>1.5289842226555574</v>
      </c>
      <c r="D122" s="19">
        <f t="shared" si="16"/>
        <v>0.66477574898067715</v>
      </c>
      <c r="E122" s="20">
        <f t="shared" si="17"/>
        <v>680</v>
      </c>
      <c r="F122" s="6"/>
      <c r="U122" t="s">
        <v>34</v>
      </c>
      <c r="V122" t="s">
        <v>30</v>
      </c>
      <c r="W122">
        <v>74</v>
      </c>
      <c r="X122" t="s">
        <v>31</v>
      </c>
      <c r="Y122" s="27" t="s">
        <v>32</v>
      </c>
      <c r="Z122" s="26">
        <f t="shared" si="20"/>
        <v>680</v>
      </c>
      <c r="AA122" t="s">
        <v>35</v>
      </c>
      <c r="AB122" s="26">
        <f t="shared" si="14"/>
        <v>8</v>
      </c>
      <c r="AD122">
        <v>74</v>
      </c>
      <c r="AE122">
        <f t="shared" si="18"/>
        <v>54</v>
      </c>
      <c r="AF122" s="20">
        <f t="shared" si="19"/>
        <v>504</v>
      </c>
      <c r="AG122" t="s">
        <v>33</v>
      </c>
    </row>
    <row r="123" spans="1:33">
      <c r="A123" s="17">
        <f>'R-T Table'!A124</f>
        <v>75</v>
      </c>
      <c r="B123" s="18">
        <f>'R-T Table'!C124</f>
        <v>7.3129999999999997</v>
      </c>
      <c r="C123" s="7">
        <f t="shared" si="15"/>
        <v>1.546183839017613</v>
      </c>
      <c r="D123" s="19">
        <f t="shared" si="16"/>
        <v>0.67225384305113611</v>
      </c>
      <c r="E123" s="20">
        <f t="shared" si="17"/>
        <v>688</v>
      </c>
      <c r="F123" s="6"/>
      <c r="U123" t="s">
        <v>34</v>
      </c>
      <c r="V123" t="s">
        <v>30</v>
      </c>
      <c r="W123">
        <v>75</v>
      </c>
      <c r="X123" t="s">
        <v>31</v>
      </c>
      <c r="Y123" s="27" t="s">
        <v>32</v>
      </c>
      <c r="Z123" s="26">
        <f t="shared" si="20"/>
        <v>688</v>
      </c>
      <c r="AA123" t="s">
        <v>35</v>
      </c>
      <c r="AB123" s="26">
        <f t="shared" si="14"/>
        <v>8</v>
      </c>
      <c r="AD123">
        <v>75</v>
      </c>
      <c r="AE123">
        <f t="shared" si="18"/>
        <v>55</v>
      </c>
      <c r="AF123" s="20">
        <f t="shared" si="19"/>
        <v>514</v>
      </c>
      <c r="AG123" t="s">
        <v>33</v>
      </c>
    </row>
    <row r="124" spans="1:33">
      <c r="A124" s="17">
        <f>'R-T Table'!A125</f>
        <v>76</v>
      </c>
      <c r="B124" s="18">
        <f>'R-T Table'!C125</f>
        <v>7.0720000000000001</v>
      </c>
      <c r="C124" s="7">
        <f t="shared" si="15"/>
        <v>1.5630663283798478</v>
      </c>
      <c r="D124" s="19">
        <f t="shared" si="16"/>
        <v>0.67959405581732524</v>
      </c>
      <c r="E124" s="20">
        <f t="shared" si="17"/>
        <v>695</v>
      </c>
      <c r="F124" s="6"/>
      <c r="U124" t="s">
        <v>34</v>
      </c>
      <c r="V124" t="s">
        <v>30</v>
      </c>
      <c r="W124">
        <v>76</v>
      </c>
      <c r="X124" t="s">
        <v>31</v>
      </c>
      <c r="Y124" s="27" t="s">
        <v>32</v>
      </c>
      <c r="Z124" s="26">
        <f t="shared" si="20"/>
        <v>695</v>
      </c>
      <c r="AA124" t="s">
        <v>35</v>
      </c>
      <c r="AB124" s="26">
        <f t="shared" si="14"/>
        <v>7</v>
      </c>
      <c r="AD124">
        <v>76</v>
      </c>
      <c r="AE124">
        <f t="shared" si="18"/>
        <v>56</v>
      </c>
      <c r="AF124" s="20">
        <f t="shared" si="19"/>
        <v>524</v>
      </c>
      <c r="AG124" t="s">
        <v>33</v>
      </c>
    </row>
    <row r="125" spans="1:33">
      <c r="A125" s="17">
        <f>'R-T Table'!A126</f>
        <v>77</v>
      </c>
      <c r="B125" s="18">
        <f>'R-T Table'!C126</f>
        <v>6.84</v>
      </c>
      <c r="C125" s="7">
        <f t="shared" si="15"/>
        <v>1.5796703296703296</v>
      </c>
      <c r="D125" s="19">
        <f t="shared" si="16"/>
        <v>0.68681318681318682</v>
      </c>
      <c r="E125" s="20">
        <f t="shared" si="17"/>
        <v>703</v>
      </c>
      <c r="F125" s="6"/>
      <c r="U125" t="s">
        <v>34</v>
      </c>
      <c r="V125" t="s">
        <v>30</v>
      </c>
      <c r="W125">
        <v>77</v>
      </c>
      <c r="X125" t="s">
        <v>31</v>
      </c>
      <c r="Y125" s="27" t="s">
        <v>32</v>
      </c>
      <c r="Z125" s="26">
        <f t="shared" si="20"/>
        <v>703</v>
      </c>
      <c r="AA125" t="s">
        <v>35</v>
      </c>
      <c r="AB125" s="26">
        <f t="shared" si="14"/>
        <v>8</v>
      </c>
      <c r="AD125">
        <v>77</v>
      </c>
      <c r="AE125">
        <f t="shared" si="18"/>
        <v>57</v>
      </c>
      <c r="AF125" s="20">
        <f t="shared" si="19"/>
        <v>533</v>
      </c>
      <c r="AG125" t="s">
        <v>33</v>
      </c>
    </row>
    <row r="126" spans="1:33">
      <c r="A126" s="17">
        <f>'R-T Table'!A127</f>
        <v>78</v>
      </c>
      <c r="B126" s="18">
        <f>'R-T Table'!C127</f>
        <v>6.6159999999999997</v>
      </c>
      <c r="C126" s="7">
        <f t="shared" si="15"/>
        <v>1.5960399703923021</v>
      </c>
      <c r="D126" s="19">
        <f t="shared" si="16"/>
        <v>0.69393042190969656</v>
      </c>
      <c r="E126" s="20">
        <f t="shared" si="17"/>
        <v>710</v>
      </c>
      <c r="F126" s="6"/>
      <c r="U126" t="s">
        <v>34</v>
      </c>
      <c r="V126" t="s">
        <v>30</v>
      </c>
      <c r="W126">
        <v>78</v>
      </c>
      <c r="X126" t="s">
        <v>31</v>
      </c>
      <c r="Y126" s="27" t="s">
        <v>32</v>
      </c>
      <c r="Z126" s="26">
        <f t="shared" si="20"/>
        <v>710</v>
      </c>
      <c r="AA126" t="s">
        <v>35</v>
      </c>
      <c r="AB126" s="26">
        <f t="shared" si="14"/>
        <v>7</v>
      </c>
      <c r="AD126">
        <v>78</v>
      </c>
      <c r="AE126">
        <f t="shared" si="18"/>
        <v>58</v>
      </c>
      <c r="AF126" s="20">
        <f t="shared" si="19"/>
        <v>542</v>
      </c>
      <c r="AG126" t="s">
        <v>33</v>
      </c>
    </row>
    <row r="127" spans="1:33">
      <c r="A127" s="17">
        <f>'R-T Table'!A128</f>
        <v>79</v>
      </c>
      <c r="B127" s="18">
        <f>'R-T Table'!C128</f>
        <v>6.4009999999999998</v>
      </c>
      <c r="C127" s="7">
        <f t="shared" si="15"/>
        <v>1.6120742021400869</v>
      </c>
      <c r="D127" s="19">
        <f t="shared" si="16"/>
        <v>0.70090182701742909</v>
      </c>
      <c r="E127" s="20">
        <f t="shared" si="17"/>
        <v>717</v>
      </c>
      <c r="F127" s="6"/>
      <c r="U127" t="s">
        <v>34</v>
      </c>
      <c r="V127" t="s">
        <v>30</v>
      </c>
      <c r="W127">
        <v>79</v>
      </c>
      <c r="X127" t="s">
        <v>31</v>
      </c>
      <c r="Y127" s="27" t="s">
        <v>32</v>
      </c>
      <c r="Z127" s="26">
        <f t="shared" si="20"/>
        <v>717</v>
      </c>
      <c r="AA127" t="s">
        <v>35</v>
      </c>
      <c r="AB127" s="26">
        <f t="shared" si="14"/>
        <v>7</v>
      </c>
      <c r="AD127">
        <v>79</v>
      </c>
      <c r="AE127">
        <f t="shared" si="18"/>
        <v>59</v>
      </c>
      <c r="AF127" s="20">
        <f t="shared" si="19"/>
        <v>552</v>
      </c>
      <c r="AG127" t="s">
        <v>33</v>
      </c>
    </row>
    <row r="128" spans="1:33">
      <c r="A128" s="17">
        <f>'R-T Table'!A129</f>
        <v>80</v>
      </c>
      <c r="B128" s="18">
        <f>'R-T Table'!C129</f>
        <v>6.194</v>
      </c>
      <c r="C128" s="7">
        <f t="shared" si="15"/>
        <v>1.627819194111541</v>
      </c>
      <c r="D128" s="19">
        <f t="shared" si="16"/>
        <v>0.70774747570067009</v>
      </c>
      <c r="E128" s="20">
        <f t="shared" si="17"/>
        <v>724</v>
      </c>
      <c r="F128" s="6"/>
      <c r="U128" t="s">
        <v>34</v>
      </c>
      <c r="V128" t="s">
        <v>30</v>
      </c>
      <c r="W128">
        <v>80</v>
      </c>
      <c r="X128" t="s">
        <v>31</v>
      </c>
      <c r="Y128" s="27" t="s">
        <v>32</v>
      </c>
      <c r="Z128" s="26">
        <f t="shared" si="20"/>
        <v>724</v>
      </c>
      <c r="AA128" t="s">
        <v>35</v>
      </c>
      <c r="AB128" s="26">
        <f t="shared" si="14"/>
        <v>7</v>
      </c>
      <c r="AD128">
        <v>80</v>
      </c>
      <c r="AE128">
        <f t="shared" si="18"/>
        <v>60</v>
      </c>
      <c r="AF128" s="20">
        <f t="shared" si="19"/>
        <v>561</v>
      </c>
      <c r="AG128" t="s">
        <v>33</v>
      </c>
    </row>
    <row r="129" spans="1:33">
      <c r="A129" s="17">
        <f>'R-T Table'!A130</f>
        <v>81</v>
      </c>
      <c r="B129" s="18">
        <f>'R-T Table'!C130</f>
        <v>5.9950000000000001</v>
      </c>
      <c r="C129" s="7">
        <f t="shared" si="15"/>
        <v>1.6432483924743986</v>
      </c>
      <c r="D129" s="19">
        <f t="shared" si="16"/>
        <v>0.71445582281495601</v>
      </c>
      <c r="E129" s="20">
        <f t="shared" si="17"/>
        <v>731</v>
      </c>
      <c r="F129" s="6"/>
      <c r="U129" t="s">
        <v>34</v>
      </c>
      <c r="V129" t="s">
        <v>30</v>
      </c>
      <c r="W129">
        <v>81</v>
      </c>
      <c r="X129" t="s">
        <v>31</v>
      </c>
      <c r="Y129" s="27" t="s">
        <v>32</v>
      </c>
      <c r="Z129" s="26">
        <f t="shared" si="20"/>
        <v>731</v>
      </c>
      <c r="AA129" t="s">
        <v>35</v>
      </c>
      <c r="AB129" s="26">
        <f t="shared" si="14"/>
        <v>7</v>
      </c>
      <c r="AD129">
        <v>81</v>
      </c>
      <c r="AE129">
        <f t="shared" si="18"/>
        <v>61</v>
      </c>
      <c r="AF129" s="20">
        <f t="shared" si="19"/>
        <v>570</v>
      </c>
      <c r="AG129" t="s">
        <v>33</v>
      </c>
    </row>
    <row r="130" spans="1:33">
      <c r="A130" s="17">
        <f>'R-T Table'!A131</f>
        <v>82</v>
      </c>
      <c r="B130" s="18">
        <f>'R-T Table'!C131</f>
        <v>5.8029999999999999</v>
      </c>
      <c r="C130" s="7">
        <f t="shared" si="15"/>
        <v>1.658414651732923</v>
      </c>
      <c r="D130" s="19">
        <f t="shared" si="16"/>
        <v>0.7210498485795318</v>
      </c>
      <c r="E130" s="20">
        <f t="shared" si="17"/>
        <v>738</v>
      </c>
      <c r="F130" s="6"/>
      <c r="U130" t="s">
        <v>34</v>
      </c>
      <c r="V130" t="s">
        <v>30</v>
      </c>
      <c r="W130">
        <v>82</v>
      </c>
      <c r="X130" t="s">
        <v>31</v>
      </c>
      <c r="Y130" s="27" t="s">
        <v>32</v>
      </c>
      <c r="Z130" s="26">
        <f t="shared" si="20"/>
        <v>738</v>
      </c>
      <c r="AA130" t="s">
        <v>35</v>
      </c>
      <c r="AB130" s="26">
        <f t="shared" si="14"/>
        <v>7</v>
      </c>
      <c r="AD130">
        <v>82</v>
      </c>
      <c r="AE130">
        <f t="shared" si="18"/>
        <v>62</v>
      </c>
      <c r="AF130" s="20">
        <f t="shared" si="19"/>
        <v>579</v>
      </c>
      <c r="AG130" t="s">
        <v>33</v>
      </c>
    </row>
    <row r="131" spans="1:33">
      <c r="A131" s="17">
        <f>'R-T Table'!A132</f>
        <v>83</v>
      </c>
      <c r="B131" s="18">
        <f>'R-T Table'!C132</f>
        <v>5.6180000000000003</v>
      </c>
      <c r="C131" s="7">
        <f t="shared" si="15"/>
        <v>1.673295178969832</v>
      </c>
      <c r="D131" s="19">
        <f t="shared" si="16"/>
        <v>0.72751964303036176</v>
      </c>
      <c r="E131" s="20">
        <f t="shared" si="17"/>
        <v>744</v>
      </c>
      <c r="F131" s="6"/>
      <c r="U131" t="s">
        <v>34</v>
      </c>
      <c r="V131" t="s">
        <v>30</v>
      </c>
      <c r="W131">
        <v>83</v>
      </c>
      <c r="X131" t="s">
        <v>31</v>
      </c>
      <c r="Y131" s="27" t="s">
        <v>32</v>
      </c>
      <c r="Z131" s="26">
        <f t="shared" si="20"/>
        <v>744</v>
      </c>
      <c r="AA131" t="s">
        <v>35</v>
      </c>
      <c r="AB131" s="26">
        <f t="shared" si="14"/>
        <v>6</v>
      </c>
      <c r="AD131">
        <v>83</v>
      </c>
      <c r="AE131">
        <f t="shared" si="18"/>
        <v>63</v>
      </c>
      <c r="AF131" s="20">
        <f t="shared" si="19"/>
        <v>588</v>
      </c>
      <c r="AG131" t="s">
        <v>33</v>
      </c>
    </row>
    <row r="132" spans="1:33">
      <c r="A132" s="17">
        <f>'R-T Table'!A133</f>
        <v>84</v>
      </c>
      <c r="B132" s="18">
        <f>'R-T Table'!C133</f>
        <v>5.44</v>
      </c>
      <c r="C132" s="7">
        <f t="shared" si="15"/>
        <v>1.687866927592955</v>
      </c>
      <c r="D132" s="19">
        <f t="shared" si="16"/>
        <v>0.73385518590998045</v>
      </c>
      <c r="E132" s="20">
        <f t="shared" si="17"/>
        <v>751</v>
      </c>
      <c r="F132" s="6"/>
      <c r="U132" t="s">
        <v>34</v>
      </c>
      <c r="V132" t="s">
        <v>30</v>
      </c>
      <c r="W132">
        <v>84</v>
      </c>
      <c r="X132" t="s">
        <v>31</v>
      </c>
      <c r="Y132" s="27" t="s">
        <v>32</v>
      </c>
      <c r="Z132" s="26">
        <f t="shared" si="20"/>
        <v>751</v>
      </c>
      <c r="AA132" t="s">
        <v>35</v>
      </c>
      <c r="AB132" s="26">
        <f t="shared" si="14"/>
        <v>7</v>
      </c>
      <c r="AD132">
        <v>84</v>
      </c>
      <c r="AE132">
        <f t="shared" si="18"/>
        <v>64</v>
      </c>
      <c r="AF132" s="20">
        <f t="shared" si="19"/>
        <v>597</v>
      </c>
      <c r="AG132" t="s">
        <v>33</v>
      </c>
    </row>
    <row r="133" spans="1:33">
      <c r="A133" s="17">
        <f>'R-T Table'!A134</f>
        <v>85</v>
      </c>
      <c r="B133" s="18">
        <f>'R-T Table'!C134</f>
        <v>5.2679999999999998</v>
      </c>
      <c r="C133" s="7">
        <f t="shared" si="15"/>
        <v>1.7021906453522795</v>
      </c>
      <c r="D133" s="19">
        <f t="shared" si="16"/>
        <v>0.74008288928359989</v>
      </c>
      <c r="E133" s="20">
        <f t="shared" si="17"/>
        <v>757</v>
      </c>
      <c r="F133" s="6"/>
      <c r="U133" t="s">
        <v>34</v>
      </c>
      <c r="V133" t="s">
        <v>30</v>
      </c>
      <c r="W133">
        <v>85</v>
      </c>
      <c r="X133" t="s">
        <v>31</v>
      </c>
      <c r="Y133" s="27" t="s">
        <v>32</v>
      </c>
      <c r="Z133" s="26">
        <f t="shared" si="20"/>
        <v>757</v>
      </c>
      <c r="AA133" t="s">
        <v>35</v>
      </c>
      <c r="AB133" s="26">
        <f t="shared" si="14"/>
        <v>6</v>
      </c>
      <c r="AD133">
        <v>85</v>
      </c>
      <c r="AE133">
        <f t="shared" si="18"/>
        <v>65</v>
      </c>
      <c r="AF133" s="20">
        <f t="shared" si="19"/>
        <v>606</v>
      </c>
      <c r="AG133" t="s">
        <v>33</v>
      </c>
    </row>
    <row r="134" spans="1:33">
      <c r="A134" s="17">
        <f>'R-T Table'!A135</f>
        <v>86</v>
      </c>
      <c r="B134" s="18">
        <f>'R-T Table'!C135</f>
        <v>5.1020000000000003</v>
      </c>
      <c r="C134" s="7">
        <f t="shared" si="15"/>
        <v>1.7162471395881007</v>
      </c>
      <c r="D134" s="19">
        <f t="shared" si="16"/>
        <v>0.7461944085165656</v>
      </c>
      <c r="E134" s="20">
        <f t="shared" si="17"/>
        <v>763</v>
      </c>
      <c r="F134" s="6"/>
      <c r="U134" t="s">
        <v>34</v>
      </c>
      <c r="V134" t="s">
        <v>30</v>
      </c>
      <c r="W134">
        <v>86</v>
      </c>
      <c r="X134" t="s">
        <v>31</v>
      </c>
      <c r="Y134" s="27" t="s">
        <v>32</v>
      </c>
      <c r="Z134" s="26">
        <f t="shared" si="20"/>
        <v>763</v>
      </c>
      <c r="AA134" t="s">
        <v>35</v>
      </c>
      <c r="AB134" s="26">
        <f t="shared" si="14"/>
        <v>6</v>
      </c>
      <c r="AD134">
        <v>86</v>
      </c>
      <c r="AE134">
        <f t="shared" si="18"/>
        <v>66</v>
      </c>
      <c r="AF134" s="20">
        <f t="shared" si="19"/>
        <v>615</v>
      </c>
      <c r="AG134" t="s">
        <v>33</v>
      </c>
    </row>
    <row r="135" spans="1:33">
      <c r="A135" s="17">
        <f>'R-T Table'!A136</f>
        <v>87</v>
      </c>
      <c r="B135" s="18">
        <f>'R-T Table'!C136</f>
        <v>4.9429999999999996</v>
      </c>
      <c r="C135" s="7">
        <f t="shared" si="15"/>
        <v>1.7299303013588729</v>
      </c>
      <c r="D135" s="19">
        <f t="shared" si="16"/>
        <v>0.75214360928646651</v>
      </c>
      <c r="E135" s="20">
        <f t="shared" si="17"/>
        <v>769</v>
      </c>
      <c r="F135" s="6"/>
      <c r="U135" t="s">
        <v>34</v>
      </c>
      <c r="V135" t="s">
        <v>30</v>
      </c>
      <c r="W135">
        <v>87</v>
      </c>
      <c r="X135" t="s">
        <v>31</v>
      </c>
      <c r="Y135" s="27" t="s">
        <v>32</v>
      </c>
      <c r="Z135" s="26">
        <f t="shared" si="20"/>
        <v>769</v>
      </c>
      <c r="AA135" t="s">
        <v>35</v>
      </c>
      <c r="AB135" s="26">
        <f t="shared" si="14"/>
        <v>6</v>
      </c>
      <c r="AD135">
        <v>87</v>
      </c>
      <c r="AE135">
        <f t="shared" si="18"/>
        <v>67</v>
      </c>
      <c r="AF135" s="20">
        <f t="shared" si="19"/>
        <v>623</v>
      </c>
      <c r="AG135" t="s">
        <v>33</v>
      </c>
    </row>
    <row r="136" spans="1:33">
      <c r="A136" s="17">
        <f>'R-T Table'!A137</f>
        <v>88</v>
      </c>
      <c r="B136" s="18">
        <f>'R-T Table'!C137</f>
        <v>4.7889999999999997</v>
      </c>
      <c r="C136" s="7">
        <f t="shared" ref="C136:C167" si="21">$B$2*$B$3/(B136+$B$3)</f>
        <v>1.7433927939764515</v>
      </c>
      <c r="D136" s="19">
        <f t="shared" ref="D136:D167" si="22">C136/$B$2</f>
        <v>0.75799686694628332</v>
      </c>
      <c r="E136" s="20">
        <f t="shared" ref="E136:E167" si="23">ROUND(D136*(2^$B$4-1),0)</f>
        <v>775</v>
      </c>
      <c r="F136" s="6"/>
      <c r="U136" t="s">
        <v>34</v>
      </c>
      <c r="V136" t="s">
        <v>30</v>
      </c>
      <c r="W136">
        <v>88</v>
      </c>
      <c r="X136" t="s">
        <v>31</v>
      </c>
      <c r="Y136" s="27" t="s">
        <v>32</v>
      </c>
      <c r="Z136" s="26">
        <f t="shared" si="20"/>
        <v>775</v>
      </c>
      <c r="AA136" t="s">
        <v>35</v>
      </c>
      <c r="AB136" s="26">
        <f t="shared" si="14"/>
        <v>6</v>
      </c>
      <c r="AD136">
        <v>88</v>
      </c>
      <c r="AE136">
        <f t="shared" si="18"/>
        <v>68</v>
      </c>
      <c r="AF136" s="20">
        <f t="shared" si="19"/>
        <v>632</v>
      </c>
      <c r="AG136" t="s">
        <v>33</v>
      </c>
    </row>
    <row r="137" spans="1:33">
      <c r="A137" s="17">
        <f>'R-T Table'!A138</f>
        <v>89</v>
      </c>
      <c r="B137" s="18">
        <f>'R-T Table'!C138</f>
        <v>4.641</v>
      </c>
      <c r="C137" s="7">
        <f t="shared" si="21"/>
        <v>1.7565297082633269</v>
      </c>
      <c r="D137" s="19">
        <f t="shared" si="22"/>
        <v>0.76370856881014215</v>
      </c>
      <c r="E137" s="20">
        <f t="shared" si="23"/>
        <v>781</v>
      </c>
      <c r="F137" s="6"/>
      <c r="U137" t="s">
        <v>34</v>
      </c>
      <c r="V137" t="s">
        <v>30</v>
      </c>
      <c r="W137">
        <v>89</v>
      </c>
      <c r="X137" t="s">
        <v>31</v>
      </c>
      <c r="Y137" s="27" t="s">
        <v>32</v>
      </c>
      <c r="Z137" s="26">
        <f t="shared" si="20"/>
        <v>781</v>
      </c>
      <c r="AA137" t="s">
        <v>35</v>
      </c>
      <c r="AB137" s="26">
        <f t="shared" si="14"/>
        <v>6</v>
      </c>
      <c r="AD137">
        <v>89</v>
      </c>
      <c r="AE137">
        <f t="shared" si="18"/>
        <v>69</v>
      </c>
      <c r="AF137" s="20">
        <f t="shared" si="19"/>
        <v>640</v>
      </c>
      <c r="AG137" t="s">
        <v>33</v>
      </c>
    </row>
    <row r="138" spans="1:33">
      <c r="A138" s="17">
        <f>'R-T Table'!A139</f>
        <v>90</v>
      </c>
      <c r="B138" s="18">
        <f>'R-T Table'!C139</f>
        <v>4.4980000000000002</v>
      </c>
      <c r="C138" s="7">
        <f t="shared" si="21"/>
        <v>1.7694122474099907</v>
      </c>
      <c r="D138" s="19">
        <f t="shared" si="22"/>
        <v>0.7693096727869525</v>
      </c>
      <c r="E138" s="20">
        <f t="shared" si="23"/>
        <v>787</v>
      </c>
      <c r="F138" s="6"/>
      <c r="U138" t="s">
        <v>34</v>
      </c>
      <c r="V138" t="s">
        <v>30</v>
      </c>
      <c r="W138">
        <v>90</v>
      </c>
      <c r="X138" t="s">
        <v>31</v>
      </c>
      <c r="Y138" s="27" t="s">
        <v>32</v>
      </c>
      <c r="Z138" s="26">
        <f t="shared" si="20"/>
        <v>787</v>
      </c>
      <c r="AA138" t="s">
        <v>35</v>
      </c>
      <c r="AB138" s="26">
        <f t="shared" ref="AB138:AB198" si="24">Z138-Z137</f>
        <v>6</v>
      </c>
      <c r="AD138">
        <v>90</v>
      </c>
      <c r="AE138">
        <f t="shared" si="18"/>
        <v>70</v>
      </c>
      <c r="AF138" s="20">
        <f t="shared" si="19"/>
        <v>648</v>
      </c>
      <c r="AG138" t="s">
        <v>33</v>
      </c>
    </row>
    <row r="139" spans="1:33">
      <c r="A139" s="17">
        <f>'R-T Table'!A140</f>
        <v>91</v>
      </c>
      <c r="B139" s="18">
        <f>'R-T Table'!C140</f>
        <v>4.3600000000000003</v>
      </c>
      <c r="C139" s="7">
        <f t="shared" si="21"/>
        <v>1.7820247933884299</v>
      </c>
      <c r="D139" s="19">
        <f t="shared" si="22"/>
        <v>0.77479338842975221</v>
      </c>
      <c r="E139" s="20">
        <f t="shared" si="23"/>
        <v>793</v>
      </c>
      <c r="F139" s="6"/>
      <c r="U139" t="s">
        <v>34</v>
      </c>
      <c r="V139" t="s">
        <v>30</v>
      </c>
      <c r="W139">
        <v>91</v>
      </c>
      <c r="X139" t="s">
        <v>31</v>
      </c>
      <c r="Y139" s="27" t="s">
        <v>32</v>
      </c>
      <c r="Z139" s="26">
        <f t="shared" si="20"/>
        <v>793</v>
      </c>
      <c r="AA139" t="s">
        <v>35</v>
      </c>
      <c r="AB139" s="26">
        <f t="shared" si="24"/>
        <v>6</v>
      </c>
      <c r="AD139">
        <v>91</v>
      </c>
      <c r="AE139">
        <f t="shared" si="18"/>
        <v>71</v>
      </c>
      <c r="AF139" s="20">
        <f t="shared" si="19"/>
        <v>656</v>
      </c>
      <c r="AG139" t="s">
        <v>33</v>
      </c>
    </row>
    <row r="140" spans="1:33">
      <c r="A140" s="17">
        <f>'R-T Table'!A141</f>
        <v>92</v>
      </c>
      <c r="B140" s="18">
        <f>'R-T Table'!C141</f>
        <v>4.2270000000000003</v>
      </c>
      <c r="C140" s="7">
        <f t="shared" si="21"/>
        <v>1.7943516929318146</v>
      </c>
      <c r="D140" s="19">
        <f t="shared" si="22"/>
        <v>0.78015290997035425</v>
      </c>
      <c r="E140" s="20">
        <f t="shared" si="23"/>
        <v>798</v>
      </c>
      <c r="F140" s="6"/>
      <c r="U140" t="s">
        <v>34</v>
      </c>
      <c r="V140" t="s">
        <v>30</v>
      </c>
      <c r="W140">
        <v>92</v>
      </c>
      <c r="X140" t="s">
        <v>31</v>
      </c>
      <c r="Y140" s="27" t="s">
        <v>32</v>
      </c>
      <c r="Z140" s="26">
        <f t="shared" si="20"/>
        <v>798</v>
      </c>
      <c r="AA140" t="s">
        <v>35</v>
      </c>
      <c r="AB140" s="26">
        <f t="shared" si="24"/>
        <v>5</v>
      </c>
      <c r="AD140">
        <v>92</v>
      </c>
      <c r="AE140">
        <f t="shared" si="18"/>
        <v>72</v>
      </c>
      <c r="AF140" s="20">
        <f t="shared" si="19"/>
        <v>664</v>
      </c>
      <c r="AG140" t="s">
        <v>33</v>
      </c>
    </row>
    <row r="141" spans="1:33">
      <c r="A141" s="17">
        <f>'R-T Table'!A142</f>
        <v>93</v>
      </c>
      <c r="B141" s="18">
        <f>'R-T Table'!C142</f>
        <v>4.0979999999999999</v>
      </c>
      <c r="C141" s="7">
        <f t="shared" si="21"/>
        <v>1.8064718818724474</v>
      </c>
      <c r="D141" s="19">
        <f t="shared" si="22"/>
        <v>0.78542255733584676</v>
      </c>
      <c r="E141" s="20">
        <f t="shared" si="23"/>
        <v>803</v>
      </c>
      <c r="F141" s="6"/>
      <c r="U141" t="s">
        <v>34</v>
      </c>
      <c r="V141" t="s">
        <v>30</v>
      </c>
      <c r="W141">
        <v>93</v>
      </c>
      <c r="X141" t="s">
        <v>31</v>
      </c>
      <c r="Y141" s="27" t="s">
        <v>32</v>
      </c>
      <c r="Z141" s="26">
        <f t="shared" si="20"/>
        <v>803</v>
      </c>
      <c r="AA141" t="s">
        <v>35</v>
      </c>
      <c r="AB141" s="26">
        <f t="shared" si="24"/>
        <v>5</v>
      </c>
      <c r="AD141">
        <v>93</v>
      </c>
      <c r="AE141">
        <f t="shared" si="18"/>
        <v>73</v>
      </c>
      <c r="AF141" s="20">
        <f t="shared" si="19"/>
        <v>672</v>
      </c>
      <c r="AG141" t="s">
        <v>33</v>
      </c>
    </row>
    <row r="142" spans="1:33">
      <c r="A142" s="17">
        <f>'R-T Table'!A143</f>
        <v>94</v>
      </c>
      <c r="B142" s="18">
        <f>'R-T Table'!C143</f>
        <v>3.9740000000000002</v>
      </c>
      <c r="C142" s="7">
        <f t="shared" si="21"/>
        <v>1.818277643090545</v>
      </c>
      <c r="D142" s="19">
        <f t="shared" si="22"/>
        <v>0.79055549699588923</v>
      </c>
      <c r="E142" s="20">
        <f t="shared" si="23"/>
        <v>809</v>
      </c>
      <c r="F142" s="6"/>
      <c r="U142" t="s">
        <v>34</v>
      </c>
      <c r="V142" t="s">
        <v>30</v>
      </c>
      <c r="W142">
        <v>94</v>
      </c>
      <c r="X142" t="s">
        <v>31</v>
      </c>
      <c r="Y142" s="27" t="s">
        <v>32</v>
      </c>
      <c r="Z142" s="26">
        <f t="shared" si="20"/>
        <v>809</v>
      </c>
      <c r="AA142" t="s">
        <v>35</v>
      </c>
      <c r="AB142" s="26">
        <f t="shared" si="24"/>
        <v>6</v>
      </c>
      <c r="AD142">
        <v>94</v>
      </c>
      <c r="AE142">
        <f t="shared" si="18"/>
        <v>74</v>
      </c>
      <c r="AF142" s="20">
        <f t="shared" si="19"/>
        <v>680</v>
      </c>
      <c r="AG142" t="s">
        <v>33</v>
      </c>
    </row>
    <row r="143" spans="1:33">
      <c r="A143" s="17">
        <f>'R-T Table'!A144</f>
        <v>95</v>
      </c>
      <c r="B143" s="18">
        <f>'R-T Table'!C144</f>
        <v>3.855</v>
      </c>
      <c r="C143" s="7">
        <f t="shared" si="21"/>
        <v>1.8297533810660302</v>
      </c>
      <c r="D143" s="19">
        <f t="shared" si="22"/>
        <v>0.79554494828957845</v>
      </c>
      <c r="E143" s="20">
        <f t="shared" si="23"/>
        <v>814</v>
      </c>
      <c r="F143" s="6"/>
      <c r="U143" t="s">
        <v>34</v>
      </c>
      <c r="V143" t="s">
        <v>30</v>
      </c>
      <c r="W143">
        <v>95</v>
      </c>
      <c r="X143" t="s">
        <v>31</v>
      </c>
      <c r="Y143" s="27" t="s">
        <v>32</v>
      </c>
      <c r="Z143" s="26">
        <f t="shared" si="20"/>
        <v>814</v>
      </c>
      <c r="AA143" t="s">
        <v>35</v>
      </c>
      <c r="AB143" s="26">
        <f t="shared" si="24"/>
        <v>5</v>
      </c>
      <c r="AD143">
        <v>95</v>
      </c>
      <c r="AE143">
        <f t="shared" si="18"/>
        <v>75</v>
      </c>
      <c r="AF143" s="20">
        <f t="shared" si="19"/>
        <v>688</v>
      </c>
      <c r="AG143" t="s">
        <v>33</v>
      </c>
    </row>
    <row r="144" spans="1:33">
      <c r="A144" s="17">
        <f>'R-T Table'!A145</f>
        <v>96</v>
      </c>
      <c r="B144" s="18">
        <f>'R-T Table'!C145</f>
        <v>3.7389999999999999</v>
      </c>
      <c r="C144" s="7">
        <f t="shared" si="21"/>
        <v>1.8410801003255242</v>
      </c>
      <c r="D144" s="19">
        <f t="shared" si="22"/>
        <v>0.80046960883718443</v>
      </c>
      <c r="E144" s="20">
        <f t="shared" si="23"/>
        <v>819</v>
      </c>
      <c r="F144" s="6"/>
      <c r="U144" t="s">
        <v>34</v>
      </c>
      <c r="V144" t="s">
        <v>30</v>
      </c>
      <c r="W144">
        <v>96</v>
      </c>
      <c r="X144" t="s">
        <v>31</v>
      </c>
      <c r="Y144" s="27" t="s">
        <v>32</v>
      </c>
      <c r="Z144" s="26">
        <f t="shared" si="20"/>
        <v>819</v>
      </c>
      <c r="AA144" t="s">
        <v>35</v>
      </c>
      <c r="AB144" s="26">
        <f t="shared" si="24"/>
        <v>5</v>
      </c>
      <c r="AD144">
        <v>96</v>
      </c>
      <c r="AE144">
        <f t="shared" si="18"/>
        <v>76</v>
      </c>
      <c r="AF144" s="20">
        <f t="shared" si="19"/>
        <v>695</v>
      </c>
      <c r="AG144" t="s">
        <v>33</v>
      </c>
    </row>
    <row r="145" spans="1:33">
      <c r="A145" s="17">
        <f>'R-T Table'!A146</f>
        <v>97</v>
      </c>
      <c r="B145" s="18">
        <f>'R-T Table'!C146</f>
        <v>3.6280000000000001</v>
      </c>
      <c r="C145" s="7">
        <f t="shared" si="21"/>
        <v>1.8520506764011166</v>
      </c>
      <c r="D145" s="19">
        <f t="shared" si="22"/>
        <v>0.80523942452222474</v>
      </c>
      <c r="E145" s="20">
        <f t="shared" si="23"/>
        <v>824</v>
      </c>
      <c r="F145" s="6"/>
      <c r="U145" t="s">
        <v>34</v>
      </c>
      <c r="V145" t="s">
        <v>30</v>
      </c>
      <c r="W145">
        <v>97</v>
      </c>
      <c r="X145" t="s">
        <v>31</v>
      </c>
      <c r="Y145" s="27" t="s">
        <v>32</v>
      </c>
      <c r="Z145" s="26">
        <f t="shared" si="20"/>
        <v>824</v>
      </c>
      <c r="AA145" t="s">
        <v>35</v>
      </c>
      <c r="AB145" s="26">
        <f t="shared" si="24"/>
        <v>5</v>
      </c>
      <c r="AD145">
        <v>97</v>
      </c>
      <c r="AE145">
        <f t="shared" si="18"/>
        <v>77</v>
      </c>
      <c r="AF145" s="20">
        <f t="shared" si="19"/>
        <v>703</v>
      </c>
      <c r="AG145" t="s">
        <v>33</v>
      </c>
    </row>
    <row r="146" spans="1:33">
      <c r="A146" s="17">
        <f>'R-T Table'!A147</f>
        <v>98</v>
      </c>
      <c r="B146" s="18">
        <f>'R-T Table'!C147</f>
        <v>3.52</v>
      </c>
      <c r="C146" s="7">
        <f t="shared" si="21"/>
        <v>1.8628509719222464</v>
      </c>
      <c r="D146" s="19">
        <f t="shared" si="22"/>
        <v>0.80993520518358542</v>
      </c>
      <c r="E146" s="20">
        <f t="shared" si="23"/>
        <v>829</v>
      </c>
      <c r="F146" s="6"/>
      <c r="U146" t="s">
        <v>34</v>
      </c>
      <c r="V146" t="s">
        <v>30</v>
      </c>
      <c r="W146">
        <v>98</v>
      </c>
      <c r="X146" t="s">
        <v>31</v>
      </c>
      <c r="Y146" s="27" t="s">
        <v>32</v>
      </c>
      <c r="Z146" s="26">
        <f t="shared" si="20"/>
        <v>829</v>
      </c>
      <c r="AA146" t="s">
        <v>35</v>
      </c>
      <c r="AB146" s="26">
        <f t="shared" si="24"/>
        <v>5</v>
      </c>
      <c r="AD146">
        <v>98</v>
      </c>
      <c r="AE146">
        <f t="shared" si="18"/>
        <v>78</v>
      </c>
      <c r="AF146" s="20">
        <f t="shared" si="19"/>
        <v>710</v>
      </c>
      <c r="AG146" t="s">
        <v>33</v>
      </c>
    </row>
    <row r="147" spans="1:33">
      <c r="A147" s="17">
        <f>'R-T Table'!A148</f>
        <v>99</v>
      </c>
      <c r="B147" s="18">
        <f>'R-T Table'!C148</f>
        <v>3.4159999999999999</v>
      </c>
      <c r="C147" s="7">
        <f t="shared" si="21"/>
        <v>1.8733709817549957</v>
      </c>
      <c r="D147" s="19">
        <f t="shared" si="22"/>
        <v>0.81450912250217211</v>
      </c>
      <c r="E147" s="20">
        <f t="shared" si="23"/>
        <v>833</v>
      </c>
      <c r="F147" s="6"/>
      <c r="U147" t="s">
        <v>34</v>
      </c>
      <c r="V147" t="s">
        <v>30</v>
      </c>
      <c r="W147">
        <v>99</v>
      </c>
      <c r="X147" t="s">
        <v>31</v>
      </c>
      <c r="Y147" s="27" t="s">
        <v>32</v>
      </c>
      <c r="Z147" s="26">
        <f t="shared" si="20"/>
        <v>833</v>
      </c>
      <c r="AA147" t="s">
        <v>35</v>
      </c>
      <c r="AB147" s="26">
        <f t="shared" si="24"/>
        <v>4</v>
      </c>
      <c r="AD147">
        <v>99</v>
      </c>
      <c r="AE147">
        <f t="shared" si="18"/>
        <v>79</v>
      </c>
      <c r="AF147" s="20">
        <f t="shared" si="19"/>
        <v>717</v>
      </c>
      <c r="AG147" t="s">
        <v>33</v>
      </c>
    </row>
    <row r="148" spans="1:33">
      <c r="A148" s="17">
        <f>'R-T Table'!A149</f>
        <v>100</v>
      </c>
      <c r="B148" s="18">
        <f>'R-T Table'!C149</f>
        <v>3.3159999999999998</v>
      </c>
      <c r="C148" s="7">
        <f t="shared" si="21"/>
        <v>1.8835990390915047</v>
      </c>
      <c r="D148" s="19">
        <f t="shared" si="22"/>
        <v>0.81895610395282825</v>
      </c>
      <c r="E148" s="20">
        <f t="shared" si="23"/>
        <v>838</v>
      </c>
      <c r="F148" s="6"/>
      <c r="U148" t="s">
        <v>34</v>
      </c>
      <c r="V148" t="s">
        <v>30</v>
      </c>
      <c r="W148">
        <v>100</v>
      </c>
      <c r="X148" t="s">
        <v>31</v>
      </c>
      <c r="Y148" s="27" t="s">
        <v>32</v>
      </c>
      <c r="Z148" s="26">
        <f t="shared" si="20"/>
        <v>838</v>
      </c>
      <c r="AA148" t="s">
        <v>35</v>
      </c>
      <c r="AB148" s="26">
        <f t="shared" si="24"/>
        <v>5</v>
      </c>
      <c r="AD148">
        <v>100</v>
      </c>
      <c r="AE148">
        <f t="shared" si="18"/>
        <v>80</v>
      </c>
      <c r="AF148" s="20">
        <f t="shared" si="19"/>
        <v>724</v>
      </c>
      <c r="AG148" t="s">
        <v>33</v>
      </c>
    </row>
    <row r="149" spans="1:33">
      <c r="A149" s="17">
        <f>'R-T Table'!A150</f>
        <v>101</v>
      </c>
      <c r="B149" s="18">
        <f>'R-T Table'!C150</f>
        <v>3.2189999999999999</v>
      </c>
      <c r="C149" s="7">
        <f t="shared" si="21"/>
        <v>1.8936275316976781</v>
      </c>
      <c r="D149" s="19">
        <f t="shared" si="22"/>
        <v>0.8233163181294253</v>
      </c>
      <c r="E149" s="20">
        <f t="shared" si="23"/>
        <v>842</v>
      </c>
      <c r="F149" s="6"/>
      <c r="U149" t="s">
        <v>34</v>
      </c>
      <c r="V149" t="s">
        <v>30</v>
      </c>
      <c r="W149">
        <v>101</v>
      </c>
      <c r="X149" t="s">
        <v>31</v>
      </c>
      <c r="Y149" s="27" t="s">
        <v>32</v>
      </c>
      <c r="Z149" s="26">
        <f t="shared" si="20"/>
        <v>842</v>
      </c>
      <c r="AA149" t="s">
        <v>35</v>
      </c>
      <c r="AB149" s="26">
        <f t="shared" si="24"/>
        <v>4</v>
      </c>
      <c r="AD149">
        <v>101</v>
      </c>
      <c r="AE149">
        <f t="shared" si="18"/>
        <v>81</v>
      </c>
      <c r="AF149" s="20">
        <f t="shared" si="19"/>
        <v>731</v>
      </c>
      <c r="AG149" t="s">
        <v>33</v>
      </c>
    </row>
    <row r="150" spans="1:33">
      <c r="A150" s="17">
        <f>'R-T Table'!A151</f>
        <v>102</v>
      </c>
      <c r="B150" s="18">
        <f>'R-T Table'!C151</f>
        <v>3.125</v>
      </c>
      <c r="C150" s="7">
        <f t="shared" si="21"/>
        <v>1.903448275862069</v>
      </c>
      <c r="D150" s="19">
        <f t="shared" si="22"/>
        <v>0.82758620689655182</v>
      </c>
      <c r="E150" s="20">
        <f t="shared" si="23"/>
        <v>847</v>
      </c>
      <c r="F150" s="6"/>
      <c r="U150" t="s">
        <v>34</v>
      </c>
      <c r="V150" t="s">
        <v>30</v>
      </c>
      <c r="W150">
        <v>102</v>
      </c>
      <c r="X150" t="s">
        <v>31</v>
      </c>
      <c r="Y150" s="27" t="s">
        <v>32</v>
      </c>
      <c r="Z150" s="26">
        <f t="shared" si="20"/>
        <v>847</v>
      </c>
      <c r="AA150" t="s">
        <v>35</v>
      </c>
      <c r="AB150" s="26">
        <f t="shared" si="24"/>
        <v>5</v>
      </c>
      <c r="AD150">
        <v>102</v>
      </c>
      <c r="AE150">
        <f t="shared" si="18"/>
        <v>82</v>
      </c>
      <c r="AF150" s="20">
        <f t="shared" si="19"/>
        <v>738</v>
      </c>
      <c r="AG150" t="s">
        <v>33</v>
      </c>
    </row>
    <row r="151" spans="1:33">
      <c r="A151" s="17">
        <f>'R-T Table'!A152</f>
        <v>103</v>
      </c>
      <c r="B151" s="18">
        <f>'R-T Table'!C152</f>
        <v>3.0339999999999998</v>
      </c>
      <c r="C151" s="7">
        <f t="shared" si="21"/>
        <v>1.9130531218808917</v>
      </c>
      <c r="D151" s="19">
        <f t="shared" si="22"/>
        <v>0.83176222690473556</v>
      </c>
      <c r="E151" s="20">
        <f t="shared" si="23"/>
        <v>851</v>
      </c>
      <c r="F151" s="6"/>
      <c r="U151" t="s">
        <v>34</v>
      </c>
      <c r="V151" t="s">
        <v>30</v>
      </c>
      <c r="W151">
        <v>103</v>
      </c>
      <c r="X151" t="s">
        <v>31</v>
      </c>
      <c r="Y151" s="27" t="s">
        <v>32</v>
      </c>
      <c r="Z151" s="26">
        <f t="shared" si="20"/>
        <v>851</v>
      </c>
      <c r="AA151" t="s">
        <v>35</v>
      </c>
      <c r="AB151" s="26">
        <f t="shared" si="24"/>
        <v>4</v>
      </c>
      <c r="AD151">
        <v>103</v>
      </c>
      <c r="AE151">
        <f t="shared" si="18"/>
        <v>83</v>
      </c>
      <c r="AF151" s="20">
        <f t="shared" si="19"/>
        <v>744</v>
      </c>
      <c r="AG151" t="s">
        <v>33</v>
      </c>
    </row>
    <row r="152" spans="1:33">
      <c r="A152" s="17">
        <f>'R-T Table'!A153</f>
        <v>104</v>
      </c>
      <c r="B152" s="18">
        <f>'R-T Table'!C153</f>
        <v>2.9470000000000001</v>
      </c>
      <c r="C152" s="7">
        <f t="shared" si="21"/>
        <v>1.9223268512843372</v>
      </c>
      <c r="D152" s="19">
        <f t="shared" si="22"/>
        <v>0.83579428316710325</v>
      </c>
      <c r="E152" s="20">
        <f t="shared" si="23"/>
        <v>855</v>
      </c>
      <c r="F152" s="6"/>
      <c r="U152" t="s">
        <v>34</v>
      </c>
      <c r="V152" t="s">
        <v>30</v>
      </c>
      <c r="W152">
        <v>104</v>
      </c>
      <c r="X152" t="s">
        <v>31</v>
      </c>
      <c r="Y152" s="27" t="s">
        <v>32</v>
      </c>
      <c r="Z152" s="26">
        <f t="shared" si="20"/>
        <v>855</v>
      </c>
      <c r="AA152" t="s">
        <v>35</v>
      </c>
      <c r="AB152" s="26">
        <f t="shared" si="24"/>
        <v>4</v>
      </c>
      <c r="AD152">
        <v>104</v>
      </c>
      <c r="AE152">
        <f t="shared" si="18"/>
        <v>84</v>
      </c>
      <c r="AF152" s="20">
        <f t="shared" si="19"/>
        <v>751</v>
      </c>
      <c r="AG152" t="s">
        <v>33</v>
      </c>
    </row>
    <row r="153" spans="1:33">
      <c r="A153" s="17">
        <f>'R-T Table'!A154</f>
        <v>105</v>
      </c>
      <c r="B153" s="18">
        <f>'R-T Table'!C154</f>
        <v>2.8620000000000001</v>
      </c>
      <c r="C153" s="7">
        <f t="shared" si="21"/>
        <v>1.9314746388982196</v>
      </c>
      <c r="D153" s="19">
        <f t="shared" si="22"/>
        <v>0.83977158212966074</v>
      </c>
      <c r="E153" s="20">
        <f t="shared" si="23"/>
        <v>859</v>
      </c>
      <c r="F153" s="6"/>
      <c r="U153" t="s">
        <v>34</v>
      </c>
      <c r="V153" t="s">
        <v>30</v>
      </c>
      <c r="W153">
        <v>105</v>
      </c>
      <c r="X153" t="s">
        <v>31</v>
      </c>
      <c r="Y153" s="27" t="s">
        <v>32</v>
      </c>
      <c r="Z153" s="26">
        <f t="shared" si="20"/>
        <v>859</v>
      </c>
      <c r="AA153" t="s">
        <v>35</v>
      </c>
      <c r="AB153" s="26">
        <f t="shared" si="24"/>
        <v>4</v>
      </c>
      <c r="AD153">
        <v>105</v>
      </c>
      <c r="AE153">
        <f t="shared" si="18"/>
        <v>85</v>
      </c>
      <c r="AF153" s="20">
        <f t="shared" si="19"/>
        <v>757</v>
      </c>
      <c r="AG153" t="s">
        <v>33</v>
      </c>
    </row>
    <row r="154" spans="1:33">
      <c r="A154" s="17">
        <f>'R-T Table'!A155</f>
        <v>106</v>
      </c>
      <c r="B154" s="18">
        <f>'R-T Table'!C155</f>
        <v>2.78</v>
      </c>
      <c r="C154" s="7">
        <f t="shared" si="21"/>
        <v>1.9403824521934756</v>
      </c>
      <c r="D154" s="19">
        <f t="shared" si="22"/>
        <v>0.84364454443194603</v>
      </c>
      <c r="E154" s="20">
        <f t="shared" si="23"/>
        <v>863</v>
      </c>
      <c r="F154" s="6"/>
      <c r="U154" t="s">
        <v>34</v>
      </c>
      <c r="V154" t="s">
        <v>30</v>
      </c>
      <c r="W154">
        <v>106</v>
      </c>
      <c r="X154" t="s">
        <v>31</v>
      </c>
      <c r="Y154" s="27" t="s">
        <v>32</v>
      </c>
      <c r="Z154" s="26">
        <f t="shared" si="20"/>
        <v>863</v>
      </c>
      <c r="AA154" t="s">
        <v>35</v>
      </c>
      <c r="AB154" s="26">
        <f t="shared" si="24"/>
        <v>4</v>
      </c>
      <c r="AD154">
        <v>106</v>
      </c>
      <c r="AE154">
        <f t="shared" si="18"/>
        <v>86</v>
      </c>
      <c r="AF154" s="20">
        <f t="shared" si="19"/>
        <v>763</v>
      </c>
      <c r="AG154" t="s">
        <v>33</v>
      </c>
    </row>
    <row r="155" spans="1:33">
      <c r="A155" s="17">
        <f>'R-T Table'!A156</f>
        <v>107</v>
      </c>
      <c r="B155" s="18">
        <f>'R-T Table'!C156</f>
        <v>2.7010000000000001</v>
      </c>
      <c r="C155" s="7">
        <f t="shared" si="21"/>
        <v>1.9490424269815265</v>
      </c>
      <c r="D155" s="19">
        <f t="shared" si="22"/>
        <v>0.84740975086153336</v>
      </c>
      <c r="E155" s="20">
        <f t="shared" si="23"/>
        <v>867</v>
      </c>
      <c r="F155" s="6"/>
      <c r="U155" t="s">
        <v>34</v>
      </c>
      <c r="V155" t="s">
        <v>30</v>
      </c>
      <c r="W155">
        <v>147</v>
      </c>
      <c r="X155" t="s">
        <v>31</v>
      </c>
      <c r="Y155" s="27" t="s">
        <v>32</v>
      </c>
      <c r="Z155" s="26">
        <f t="shared" ref="Z155:Z198" si="25">E155</f>
        <v>867</v>
      </c>
      <c r="AA155" t="s">
        <v>35</v>
      </c>
      <c r="AB155" s="26">
        <f t="shared" si="24"/>
        <v>4</v>
      </c>
      <c r="AD155">
        <v>107</v>
      </c>
      <c r="AE155">
        <f t="shared" si="18"/>
        <v>87</v>
      </c>
      <c r="AF155" s="20">
        <f t="shared" si="19"/>
        <v>769</v>
      </c>
      <c r="AG155" t="s">
        <v>33</v>
      </c>
    </row>
    <row r="156" spans="1:33">
      <c r="A156" s="17">
        <f>'R-T Table'!A157</f>
        <v>108</v>
      </c>
      <c r="B156" s="18">
        <f>'R-T Table'!C157</f>
        <v>2.6240000000000001</v>
      </c>
      <c r="C156" s="7">
        <f t="shared" si="21"/>
        <v>1.957557875624149</v>
      </c>
      <c r="D156" s="19">
        <f t="shared" si="22"/>
        <v>0.85111211983658652</v>
      </c>
      <c r="E156" s="20">
        <f t="shared" si="23"/>
        <v>871</v>
      </c>
      <c r="F156" s="6"/>
      <c r="U156" t="s">
        <v>34</v>
      </c>
      <c r="V156" t="s">
        <v>30</v>
      </c>
      <c r="W156">
        <v>148</v>
      </c>
      <c r="X156" t="s">
        <v>31</v>
      </c>
      <c r="Y156" s="27" t="s">
        <v>32</v>
      </c>
      <c r="Z156" s="26">
        <f t="shared" si="25"/>
        <v>871</v>
      </c>
      <c r="AA156" t="s">
        <v>35</v>
      </c>
      <c r="AB156" s="26">
        <f t="shared" si="24"/>
        <v>4</v>
      </c>
      <c r="AD156">
        <v>108</v>
      </c>
      <c r="AE156">
        <f t="shared" si="18"/>
        <v>88</v>
      </c>
      <c r="AF156" s="20">
        <f t="shared" si="19"/>
        <v>775</v>
      </c>
      <c r="AG156" t="s">
        <v>33</v>
      </c>
    </row>
    <row r="157" spans="1:33">
      <c r="A157" s="17">
        <f>'R-T Table'!A158</f>
        <v>109</v>
      </c>
      <c r="B157" s="18">
        <f>'R-T Table'!C158</f>
        <v>2.5499999999999998</v>
      </c>
      <c r="C157" s="7">
        <f t="shared" si="21"/>
        <v>1.9658119658119657</v>
      </c>
      <c r="D157" s="19">
        <f t="shared" si="22"/>
        <v>0.85470085470085477</v>
      </c>
      <c r="E157" s="20">
        <f t="shared" si="23"/>
        <v>874</v>
      </c>
      <c r="F157" s="6"/>
      <c r="U157" t="s">
        <v>34</v>
      </c>
      <c r="V157" t="s">
        <v>30</v>
      </c>
      <c r="W157">
        <v>149</v>
      </c>
      <c r="X157" t="s">
        <v>31</v>
      </c>
      <c r="Y157" s="27" t="s">
        <v>32</v>
      </c>
      <c r="Z157" s="26">
        <f t="shared" si="25"/>
        <v>874</v>
      </c>
      <c r="AA157" t="s">
        <v>35</v>
      </c>
      <c r="AB157" s="26">
        <f t="shared" si="24"/>
        <v>3</v>
      </c>
      <c r="AD157">
        <v>109</v>
      </c>
      <c r="AE157">
        <f t="shared" si="18"/>
        <v>89</v>
      </c>
      <c r="AF157" s="20">
        <f t="shared" si="19"/>
        <v>781</v>
      </c>
      <c r="AG157" t="s">
        <v>33</v>
      </c>
    </row>
    <row r="158" spans="1:33">
      <c r="A158" s="17">
        <f>'R-T Table'!A159</f>
        <v>110</v>
      </c>
      <c r="B158" s="18">
        <f>'R-T Table'!C159</f>
        <v>2.4790000000000001</v>
      </c>
      <c r="C158" s="7">
        <f t="shared" si="21"/>
        <v>1.97379712798215</v>
      </c>
      <c r="D158" s="19">
        <f t="shared" si="22"/>
        <v>0.85817266434006534</v>
      </c>
      <c r="E158" s="20">
        <f t="shared" si="23"/>
        <v>878</v>
      </c>
      <c r="F158" s="6"/>
      <c r="U158" t="s">
        <v>34</v>
      </c>
      <c r="V158" t="s">
        <v>30</v>
      </c>
      <c r="W158">
        <v>150</v>
      </c>
      <c r="X158" t="s">
        <v>31</v>
      </c>
      <c r="Y158" s="27" t="s">
        <v>32</v>
      </c>
      <c r="Z158" s="26">
        <f t="shared" si="25"/>
        <v>878</v>
      </c>
      <c r="AA158" t="s">
        <v>35</v>
      </c>
      <c r="AB158" s="26">
        <f t="shared" si="24"/>
        <v>4</v>
      </c>
      <c r="AD158">
        <v>110</v>
      </c>
      <c r="AE158">
        <f t="shared" si="18"/>
        <v>90</v>
      </c>
      <c r="AF158" s="20">
        <f t="shared" si="19"/>
        <v>787</v>
      </c>
      <c r="AG158" t="s">
        <v>33</v>
      </c>
    </row>
    <row r="159" spans="1:33">
      <c r="A159" s="17">
        <f>'R-T Table'!A160</f>
        <v>111</v>
      </c>
      <c r="B159" s="18">
        <f>'R-T Table'!C160</f>
        <v>2.4089999999999998</v>
      </c>
      <c r="C159" s="7">
        <f t="shared" si="21"/>
        <v>1.9817335860761676</v>
      </c>
      <c r="D159" s="19">
        <f t="shared" si="22"/>
        <v>0.86162329829398598</v>
      </c>
      <c r="E159" s="20">
        <f t="shared" si="23"/>
        <v>881</v>
      </c>
      <c r="F159" s="6"/>
      <c r="U159" t="s">
        <v>34</v>
      </c>
      <c r="V159" t="s">
        <v>30</v>
      </c>
      <c r="W159">
        <v>151</v>
      </c>
      <c r="X159" t="s">
        <v>31</v>
      </c>
      <c r="Y159" s="27" t="s">
        <v>32</v>
      </c>
      <c r="Z159" s="26">
        <f t="shared" si="25"/>
        <v>881</v>
      </c>
      <c r="AA159" t="s">
        <v>35</v>
      </c>
      <c r="AB159" s="26">
        <f t="shared" si="24"/>
        <v>3</v>
      </c>
      <c r="AD159">
        <v>111</v>
      </c>
      <c r="AE159">
        <f t="shared" si="18"/>
        <v>91</v>
      </c>
      <c r="AF159" s="20">
        <f t="shared" si="19"/>
        <v>793</v>
      </c>
      <c r="AG159" t="s">
        <v>33</v>
      </c>
    </row>
    <row r="160" spans="1:33">
      <c r="A160" s="17">
        <f>'R-T Table'!A161</f>
        <v>112</v>
      </c>
      <c r="B160" s="18">
        <f>'R-T Table'!C161</f>
        <v>2.3420000000000001</v>
      </c>
      <c r="C160" s="7">
        <f t="shared" si="21"/>
        <v>1.9893899204244034</v>
      </c>
      <c r="D160" s="19">
        <f t="shared" si="22"/>
        <v>0.86495213931495807</v>
      </c>
      <c r="E160" s="20">
        <f t="shared" si="23"/>
        <v>885</v>
      </c>
      <c r="F160" s="6"/>
      <c r="U160" t="s">
        <v>34</v>
      </c>
      <c r="V160" t="s">
        <v>30</v>
      </c>
      <c r="W160">
        <v>152</v>
      </c>
      <c r="X160" t="s">
        <v>31</v>
      </c>
      <c r="Y160" s="27" t="s">
        <v>32</v>
      </c>
      <c r="Z160" s="26">
        <f t="shared" si="25"/>
        <v>885</v>
      </c>
      <c r="AA160" t="s">
        <v>35</v>
      </c>
      <c r="AB160" s="26">
        <f t="shared" si="24"/>
        <v>4</v>
      </c>
      <c r="AD160">
        <v>112</v>
      </c>
      <c r="AE160">
        <f t="shared" si="18"/>
        <v>92</v>
      </c>
      <c r="AF160" s="20">
        <f t="shared" si="19"/>
        <v>798</v>
      </c>
      <c r="AG160" t="s">
        <v>33</v>
      </c>
    </row>
    <row r="161" spans="1:33">
      <c r="A161" s="17">
        <f>'R-T Table'!A162</f>
        <v>113</v>
      </c>
      <c r="B161" s="18">
        <f>'R-T Table'!C162</f>
        <v>2.2770000000000001</v>
      </c>
      <c r="C161" s="7">
        <f t="shared" si="21"/>
        <v>1.9968744573710713</v>
      </c>
      <c r="D161" s="19">
        <f t="shared" si="22"/>
        <v>0.86820628581350934</v>
      </c>
      <c r="E161" s="20">
        <f t="shared" si="23"/>
        <v>888</v>
      </c>
      <c r="F161" s="6"/>
      <c r="U161" t="s">
        <v>34</v>
      </c>
      <c r="V161" t="s">
        <v>30</v>
      </c>
      <c r="W161">
        <v>153</v>
      </c>
      <c r="X161" t="s">
        <v>31</v>
      </c>
      <c r="Y161" s="27" t="s">
        <v>32</v>
      </c>
      <c r="Z161" s="26">
        <f t="shared" si="25"/>
        <v>888</v>
      </c>
      <c r="AA161" t="s">
        <v>35</v>
      </c>
      <c r="AB161" s="26">
        <f t="shared" si="24"/>
        <v>3</v>
      </c>
      <c r="AD161">
        <v>113</v>
      </c>
      <c r="AE161">
        <f t="shared" si="18"/>
        <v>93</v>
      </c>
      <c r="AF161" s="20">
        <f t="shared" si="19"/>
        <v>803</v>
      </c>
      <c r="AG161" t="s">
        <v>33</v>
      </c>
    </row>
    <row r="162" spans="1:33">
      <c r="A162" s="17">
        <f>'R-T Table'!A163</f>
        <v>114</v>
      </c>
      <c r="B162" s="18">
        <f>'R-T Table'!C163</f>
        <v>2.2149999999999999</v>
      </c>
      <c r="C162" s="7">
        <f t="shared" si="21"/>
        <v>2.0040662213186176</v>
      </c>
      <c r="D162" s="19">
        <f t="shared" si="22"/>
        <v>0.87133313970374682</v>
      </c>
      <c r="E162" s="20">
        <f t="shared" si="23"/>
        <v>891</v>
      </c>
      <c r="F162" s="6"/>
      <c r="U162" t="s">
        <v>34</v>
      </c>
      <c r="V162" t="s">
        <v>30</v>
      </c>
      <c r="W162">
        <v>154</v>
      </c>
      <c r="X162" t="s">
        <v>31</v>
      </c>
      <c r="Y162" s="27" t="s">
        <v>32</v>
      </c>
      <c r="Z162" s="26">
        <f t="shared" si="25"/>
        <v>891</v>
      </c>
      <c r="AA162" t="s">
        <v>35</v>
      </c>
      <c r="AB162" s="26">
        <f t="shared" si="24"/>
        <v>3</v>
      </c>
      <c r="AD162">
        <v>114</v>
      </c>
      <c r="AE162">
        <f t="shared" si="18"/>
        <v>94</v>
      </c>
      <c r="AF162" s="20">
        <f t="shared" si="19"/>
        <v>809</v>
      </c>
      <c r="AG162" t="s">
        <v>33</v>
      </c>
    </row>
    <row r="163" spans="1:33">
      <c r="A163" s="17">
        <f>'R-T Table'!A164</f>
        <v>115</v>
      </c>
      <c r="B163" s="18">
        <f>'R-T Table'!C164</f>
        <v>2.1539999999999999</v>
      </c>
      <c r="C163" s="7">
        <f t="shared" si="21"/>
        <v>2.0111927247289261</v>
      </c>
      <c r="D163" s="19">
        <f t="shared" si="22"/>
        <v>0.87443161944735925</v>
      </c>
      <c r="E163" s="20">
        <f t="shared" si="23"/>
        <v>895</v>
      </c>
      <c r="F163" s="6"/>
      <c r="U163" t="s">
        <v>34</v>
      </c>
      <c r="V163" t="s">
        <v>30</v>
      </c>
      <c r="W163">
        <v>155</v>
      </c>
      <c r="X163" t="s">
        <v>31</v>
      </c>
      <c r="Y163" s="27" t="s">
        <v>32</v>
      </c>
      <c r="Z163" s="26">
        <f t="shared" si="25"/>
        <v>895</v>
      </c>
      <c r="AA163" t="s">
        <v>35</v>
      </c>
      <c r="AB163" s="26">
        <f t="shared" si="24"/>
        <v>4</v>
      </c>
      <c r="AD163">
        <v>115</v>
      </c>
      <c r="AE163">
        <f t="shared" si="18"/>
        <v>95</v>
      </c>
      <c r="AF163" s="20">
        <f t="shared" si="19"/>
        <v>814</v>
      </c>
      <c r="AG163" t="s">
        <v>33</v>
      </c>
    </row>
    <row r="164" spans="1:33">
      <c r="A164" s="17">
        <f>'R-T Table'!A165</f>
        <v>116</v>
      </c>
      <c r="B164" s="18">
        <f>'R-T Table'!C165</f>
        <v>2.0950000000000002</v>
      </c>
      <c r="C164" s="7">
        <f t="shared" si="21"/>
        <v>2.0181339572974557</v>
      </c>
      <c r="D164" s="19">
        <f t="shared" si="22"/>
        <v>0.87744954665106778</v>
      </c>
      <c r="E164" s="20">
        <f t="shared" si="23"/>
        <v>898</v>
      </c>
      <c r="F164" s="6"/>
      <c r="U164" t="s">
        <v>34</v>
      </c>
      <c r="V164" t="s">
        <v>30</v>
      </c>
      <c r="W164">
        <v>156</v>
      </c>
      <c r="X164" t="s">
        <v>31</v>
      </c>
      <c r="Y164" s="27" t="s">
        <v>32</v>
      </c>
      <c r="Z164" s="26">
        <f t="shared" si="25"/>
        <v>898</v>
      </c>
      <c r="AA164" t="s">
        <v>35</v>
      </c>
      <c r="AB164" s="26">
        <f t="shared" si="24"/>
        <v>3</v>
      </c>
      <c r="AD164">
        <v>116</v>
      </c>
      <c r="AE164">
        <f t="shared" si="18"/>
        <v>96</v>
      </c>
      <c r="AF164" s="20">
        <f t="shared" si="19"/>
        <v>819</v>
      </c>
      <c r="AG164" t="s">
        <v>33</v>
      </c>
    </row>
    <row r="165" spans="1:33">
      <c r="A165" s="17">
        <f>'R-T Table'!A166</f>
        <v>117</v>
      </c>
      <c r="B165" s="18">
        <f>'R-T Table'!C166</f>
        <v>2.0379999999999998</v>
      </c>
      <c r="C165" s="7">
        <f t="shared" si="21"/>
        <v>2.024885549947177</v>
      </c>
      <c r="D165" s="19">
        <f t="shared" si="22"/>
        <v>0.88038502171616395</v>
      </c>
      <c r="E165" s="20">
        <f t="shared" si="23"/>
        <v>901</v>
      </c>
      <c r="F165" s="6"/>
      <c r="U165" t="s">
        <v>34</v>
      </c>
      <c r="V165" t="s">
        <v>30</v>
      </c>
      <c r="W165">
        <v>157</v>
      </c>
      <c r="X165" t="s">
        <v>31</v>
      </c>
      <c r="Y165" s="27" t="s">
        <v>32</v>
      </c>
      <c r="Z165" s="26">
        <f t="shared" si="25"/>
        <v>901</v>
      </c>
      <c r="AA165" t="s">
        <v>35</v>
      </c>
      <c r="AB165" s="26">
        <f t="shared" si="24"/>
        <v>3</v>
      </c>
      <c r="AD165">
        <v>117</v>
      </c>
      <c r="AE165">
        <f t="shared" si="18"/>
        <v>97</v>
      </c>
      <c r="AF165" s="20">
        <f t="shared" si="19"/>
        <v>824</v>
      </c>
      <c r="AG165" t="s">
        <v>33</v>
      </c>
    </row>
    <row r="166" spans="1:33">
      <c r="A166" s="17">
        <f>'R-T Table'!A167</f>
        <v>118</v>
      </c>
      <c r="B166" s="18">
        <f>'R-T Table'!C167</f>
        <v>1.9830000000000001</v>
      </c>
      <c r="C166" s="7">
        <f t="shared" si="21"/>
        <v>2.0314432079137963</v>
      </c>
      <c r="D166" s="19">
        <f t="shared" si="22"/>
        <v>0.88323617735382454</v>
      </c>
      <c r="E166" s="20">
        <f t="shared" si="23"/>
        <v>904</v>
      </c>
      <c r="F166" s="6"/>
      <c r="U166" t="s">
        <v>34</v>
      </c>
      <c r="V166" t="s">
        <v>30</v>
      </c>
      <c r="W166">
        <v>158</v>
      </c>
      <c r="X166" t="s">
        <v>31</v>
      </c>
      <c r="Y166" s="27" t="s">
        <v>32</v>
      </c>
      <c r="Z166" s="26">
        <f t="shared" si="25"/>
        <v>904</v>
      </c>
      <c r="AA166" t="s">
        <v>35</v>
      </c>
      <c r="AB166" s="26">
        <f t="shared" si="24"/>
        <v>3</v>
      </c>
      <c r="AD166">
        <v>118</v>
      </c>
      <c r="AE166">
        <f t="shared" si="18"/>
        <v>98</v>
      </c>
      <c r="AF166" s="20">
        <f t="shared" si="19"/>
        <v>829</v>
      </c>
      <c r="AG166" t="s">
        <v>33</v>
      </c>
    </row>
    <row r="167" spans="1:33">
      <c r="A167" s="17">
        <f>'R-T Table'!A168</f>
        <v>119</v>
      </c>
      <c r="B167" s="18">
        <f>'R-T Table'!C168</f>
        <v>1.929</v>
      </c>
      <c r="C167" s="7">
        <f t="shared" si="21"/>
        <v>2.0379230905546697</v>
      </c>
      <c r="D167" s="19">
        <f t="shared" si="22"/>
        <v>0.8860535176324652</v>
      </c>
      <c r="E167" s="20">
        <f t="shared" si="23"/>
        <v>906</v>
      </c>
      <c r="F167" s="6"/>
      <c r="U167" t="s">
        <v>34</v>
      </c>
      <c r="V167" t="s">
        <v>30</v>
      </c>
      <c r="W167">
        <v>159</v>
      </c>
      <c r="X167" t="s">
        <v>31</v>
      </c>
      <c r="Y167" s="27" t="s">
        <v>32</v>
      </c>
      <c r="Z167" s="26">
        <f t="shared" si="25"/>
        <v>906</v>
      </c>
      <c r="AA167" t="s">
        <v>35</v>
      </c>
      <c r="AB167" s="26">
        <f t="shared" si="24"/>
        <v>2</v>
      </c>
      <c r="AD167">
        <v>119</v>
      </c>
      <c r="AE167">
        <f t="shared" si="18"/>
        <v>99</v>
      </c>
      <c r="AF167" s="20">
        <f t="shared" si="19"/>
        <v>833</v>
      </c>
      <c r="AG167" t="s">
        <v>33</v>
      </c>
    </row>
    <row r="168" spans="1:33">
      <c r="A168" s="17">
        <f>'R-T Table'!A169</f>
        <v>120</v>
      </c>
      <c r="B168" s="18">
        <f>'R-T Table'!C169</f>
        <v>1.877</v>
      </c>
      <c r="C168" s="7">
        <f t="shared" ref="C168:C199" si="26">$B$2*$B$3/(B168+$B$3)</f>
        <v>2.0442021686318661</v>
      </c>
      <c r="D168" s="19">
        <f t="shared" ref="D168:D199" si="27">C168/$B$2</f>
        <v>0.8887835515790723</v>
      </c>
      <c r="E168" s="20">
        <f t="shared" ref="E168:E199" si="28">ROUND(D168*(2^$B$4-1),0)</f>
        <v>909</v>
      </c>
      <c r="F168" s="6"/>
      <c r="U168" t="s">
        <v>34</v>
      </c>
      <c r="V168" t="s">
        <v>30</v>
      </c>
      <c r="W168">
        <v>160</v>
      </c>
      <c r="X168" t="s">
        <v>31</v>
      </c>
      <c r="Y168" s="27" t="s">
        <v>32</v>
      </c>
      <c r="Z168" s="26">
        <f t="shared" si="25"/>
        <v>909</v>
      </c>
      <c r="AA168" t="s">
        <v>35</v>
      </c>
      <c r="AB168" s="26">
        <f t="shared" si="24"/>
        <v>3</v>
      </c>
      <c r="AD168">
        <v>120</v>
      </c>
      <c r="AE168">
        <f t="shared" si="18"/>
        <v>100</v>
      </c>
      <c r="AF168" s="20">
        <f t="shared" si="19"/>
        <v>838</v>
      </c>
      <c r="AG168" t="s">
        <v>33</v>
      </c>
    </row>
    <row r="169" spans="1:33">
      <c r="A169" s="17">
        <f>'R-T Table'!A170</f>
        <v>121</v>
      </c>
      <c r="B169" s="18">
        <f>'R-T Table'!C170</f>
        <v>1.827</v>
      </c>
      <c r="C169" s="7">
        <f t="shared" si="26"/>
        <v>2.0502763415938672</v>
      </c>
      <c r="D169" s="19">
        <f t="shared" si="27"/>
        <v>0.89142449634515974</v>
      </c>
      <c r="E169" s="20">
        <f t="shared" si="28"/>
        <v>912</v>
      </c>
      <c r="F169" s="6"/>
      <c r="U169" t="s">
        <v>34</v>
      </c>
      <c r="V169" t="s">
        <v>30</v>
      </c>
      <c r="W169">
        <v>161</v>
      </c>
      <c r="X169" t="s">
        <v>31</v>
      </c>
      <c r="Y169" s="27" t="s">
        <v>32</v>
      </c>
      <c r="Z169" s="26">
        <f t="shared" si="25"/>
        <v>912</v>
      </c>
      <c r="AA169" t="s">
        <v>35</v>
      </c>
      <c r="AB169" s="26">
        <f t="shared" si="24"/>
        <v>3</v>
      </c>
      <c r="AD169">
        <v>121</v>
      </c>
      <c r="AE169">
        <f t="shared" si="18"/>
        <v>101</v>
      </c>
      <c r="AF169" s="20">
        <f t="shared" si="19"/>
        <v>842</v>
      </c>
      <c r="AG169" t="s">
        <v>33</v>
      </c>
    </row>
    <row r="170" spans="1:33">
      <c r="A170" s="17">
        <f>'R-T Table'!A171</f>
        <v>122</v>
      </c>
      <c r="B170" s="18">
        <f>'R-T Table'!C171</f>
        <v>1.778</v>
      </c>
      <c r="C170" s="7">
        <f t="shared" si="26"/>
        <v>2.0562641554416499</v>
      </c>
      <c r="D170" s="19">
        <f t="shared" si="27"/>
        <v>0.89402789367028257</v>
      </c>
      <c r="E170" s="20">
        <f t="shared" si="28"/>
        <v>915</v>
      </c>
      <c r="F170" s="6"/>
      <c r="U170" t="s">
        <v>34</v>
      </c>
      <c r="V170" t="s">
        <v>30</v>
      </c>
      <c r="W170">
        <v>162</v>
      </c>
      <c r="X170" t="s">
        <v>31</v>
      </c>
      <c r="Y170" s="27" t="s">
        <v>32</v>
      </c>
      <c r="Z170" s="26">
        <f t="shared" si="25"/>
        <v>915</v>
      </c>
      <c r="AA170" t="s">
        <v>35</v>
      </c>
      <c r="AB170" s="26">
        <f t="shared" si="24"/>
        <v>3</v>
      </c>
      <c r="AD170">
        <v>122</v>
      </c>
      <c r="AE170">
        <f t="shared" si="18"/>
        <v>102</v>
      </c>
      <c r="AF170" s="20">
        <f t="shared" si="19"/>
        <v>847</v>
      </c>
      <c r="AG170" t="s">
        <v>33</v>
      </c>
    </row>
    <row r="171" spans="1:33">
      <c r="A171" s="17">
        <f>'R-T Table'!A172</f>
        <v>123</v>
      </c>
      <c r="B171" s="18">
        <f>'R-T Table'!C172</f>
        <v>1.7310000000000001</v>
      </c>
      <c r="C171" s="7">
        <f t="shared" si="26"/>
        <v>2.0620405235789847</v>
      </c>
      <c r="D171" s="19">
        <f t="shared" si="27"/>
        <v>0.89653935807781948</v>
      </c>
      <c r="E171" s="20">
        <f t="shared" si="28"/>
        <v>917</v>
      </c>
      <c r="F171" s="6"/>
      <c r="U171" t="s">
        <v>34</v>
      </c>
      <c r="V171" t="s">
        <v>30</v>
      </c>
      <c r="W171">
        <v>163</v>
      </c>
      <c r="X171" t="s">
        <v>31</v>
      </c>
      <c r="Y171" s="27" t="s">
        <v>32</v>
      </c>
      <c r="Z171" s="26">
        <f t="shared" si="25"/>
        <v>917</v>
      </c>
      <c r="AA171" t="s">
        <v>35</v>
      </c>
      <c r="AB171" s="26">
        <f t="shared" si="24"/>
        <v>2</v>
      </c>
      <c r="AD171">
        <v>123</v>
      </c>
      <c r="AE171">
        <f t="shared" si="18"/>
        <v>103</v>
      </c>
      <c r="AF171" s="20">
        <f t="shared" si="19"/>
        <v>851</v>
      </c>
      <c r="AG171" t="s">
        <v>33</v>
      </c>
    </row>
    <row r="172" spans="1:33">
      <c r="A172" s="17">
        <f>'R-T Table'!A173</f>
        <v>124</v>
      </c>
      <c r="B172" s="18">
        <f>'R-T Table'!C173</f>
        <v>1.6850000000000001</v>
      </c>
      <c r="C172" s="7">
        <f t="shared" si="26"/>
        <v>2.0677255019478573</v>
      </c>
      <c r="D172" s="19">
        <f t="shared" si="27"/>
        <v>0.89901108780341632</v>
      </c>
      <c r="E172" s="20">
        <f t="shared" si="28"/>
        <v>920</v>
      </c>
      <c r="F172" s="6"/>
      <c r="U172" t="s">
        <v>34</v>
      </c>
      <c r="V172" t="s">
        <v>30</v>
      </c>
      <c r="W172">
        <v>164</v>
      </c>
      <c r="X172" t="s">
        <v>31</v>
      </c>
      <c r="Y172" s="27" t="s">
        <v>32</v>
      </c>
      <c r="Z172" s="26">
        <f t="shared" si="25"/>
        <v>920</v>
      </c>
      <c r="AA172" t="s">
        <v>35</v>
      </c>
      <c r="AB172" s="26">
        <f t="shared" si="24"/>
        <v>3</v>
      </c>
      <c r="AD172">
        <v>124</v>
      </c>
      <c r="AE172">
        <f t="shared" si="18"/>
        <v>104</v>
      </c>
      <c r="AF172" s="20">
        <f t="shared" si="19"/>
        <v>855</v>
      </c>
      <c r="AG172" t="s">
        <v>33</v>
      </c>
    </row>
    <row r="173" spans="1:33">
      <c r="A173" s="17">
        <f>'R-T Table'!A174</f>
        <v>125</v>
      </c>
      <c r="B173" s="18">
        <f>'R-T Table'!C174</f>
        <v>1.641</v>
      </c>
      <c r="C173" s="7">
        <f t="shared" si="26"/>
        <v>2.0731927167838475</v>
      </c>
      <c r="D173" s="19">
        <f t="shared" si="27"/>
        <v>0.90138813773210769</v>
      </c>
      <c r="E173" s="20">
        <f t="shared" si="28"/>
        <v>922</v>
      </c>
      <c r="F173" s="21" t="s">
        <v>26</v>
      </c>
      <c r="U173" t="s">
        <v>34</v>
      </c>
      <c r="V173" t="s">
        <v>30</v>
      </c>
      <c r="W173">
        <v>165</v>
      </c>
      <c r="X173" t="s">
        <v>31</v>
      </c>
      <c r="Y173" s="27" t="s">
        <v>32</v>
      </c>
      <c r="Z173" s="26">
        <f t="shared" si="25"/>
        <v>922</v>
      </c>
      <c r="AA173" t="s">
        <v>35</v>
      </c>
      <c r="AB173" s="26">
        <f t="shared" si="24"/>
        <v>2</v>
      </c>
      <c r="AD173">
        <v>125</v>
      </c>
      <c r="AE173">
        <f t="shared" si="18"/>
        <v>105</v>
      </c>
      <c r="AF173" s="20">
        <f t="shared" si="19"/>
        <v>859</v>
      </c>
      <c r="AG173" t="s">
        <v>33</v>
      </c>
    </row>
    <row r="174" spans="1:33">
      <c r="A174" s="17">
        <f>'R-T Table'!A175</f>
        <v>126</v>
      </c>
      <c r="B174" s="18">
        <f>'R-T Table'!C175</f>
        <v>1.5980000000000001</v>
      </c>
      <c r="C174" s="7">
        <f t="shared" si="26"/>
        <v>2.07856368237137</v>
      </c>
      <c r="D174" s="19">
        <f t="shared" si="27"/>
        <v>0.90372334016146527</v>
      </c>
      <c r="E174" s="20">
        <f t="shared" si="28"/>
        <v>925</v>
      </c>
      <c r="F174" s="6"/>
      <c r="U174" t="s">
        <v>34</v>
      </c>
      <c r="V174" t="s">
        <v>30</v>
      </c>
      <c r="W174">
        <v>166</v>
      </c>
      <c r="X174" t="s">
        <v>31</v>
      </c>
      <c r="Y174" s="27" t="s">
        <v>32</v>
      </c>
      <c r="Z174" s="26">
        <f t="shared" si="25"/>
        <v>925</v>
      </c>
      <c r="AA174" t="s">
        <v>35</v>
      </c>
      <c r="AB174" s="26">
        <f t="shared" si="24"/>
        <v>3</v>
      </c>
      <c r="AD174">
        <v>126</v>
      </c>
      <c r="AE174">
        <f t="shared" si="18"/>
        <v>106</v>
      </c>
      <c r="AF174" s="20">
        <f t="shared" si="19"/>
        <v>863</v>
      </c>
      <c r="AG174" t="s">
        <v>33</v>
      </c>
    </row>
    <row r="175" spans="1:33">
      <c r="A175" s="17">
        <f>'R-T Table'!A176</f>
        <v>127</v>
      </c>
      <c r="B175" s="18">
        <f>'R-T Table'!C176</f>
        <v>1.556</v>
      </c>
      <c r="C175" s="7">
        <f t="shared" si="26"/>
        <v>2.0838366755254891</v>
      </c>
      <c r="D175" s="19">
        <f t="shared" si="27"/>
        <v>0.90601594588064749</v>
      </c>
      <c r="E175" s="20">
        <f t="shared" si="28"/>
        <v>927</v>
      </c>
      <c r="F175" s="6"/>
      <c r="U175" t="s">
        <v>34</v>
      </c>
      <c r="V175" t="s">
        <v>30</v>
      </c>
      <c r="W175">
        <v>167</v>
      </c>
      <c r="X175" t="s">
        <v>31</v>
      </c>
      <c r="Y175" s="27" t="s">
        <v>32</v>
      </c>
      <c r="Z175" s="26">
        <f t="shared" si="25"/>
        <v>927</v>
      </c>
      <c r="AA175" t="s">
        <v>35</v>
      </c>
      <c r="AB175" s="26">
        <f t="shared" si="24"/>
        <v>2</v>
      </c>
      <c r="AD175">
        <v>127</v>
      </c>
      <c r="AE175">
        <f t="shared" si="18"/>
        <v>107</v>
      </c>
      <c r="AF175" s="20">
        <f t="shared" si="19"/>
        <v>867</v>
      </c>
      <c r="AG175" t="s">
        <v>33</v>
      </c>
    </row>
    <row r="176" spans="1:33">
      <c r="A176" s="17">
        <f>'R-T Table'!A177</f>
        <v>128</v>
      </c>
      <c r="B176" s="18">
        <f>'R-T Table'!C177</f>
        <v>1.516</v>
      </c>
      <c r="C176" s="7">
        <f t="shared" si="26"/>
        <v>2.0888835069023979</v>
      </c>
      <c r="D176" s="19">
        <f t="shared" si="27"/>
        <v>0.908210220392347</v>
      </c>
      <c r="E176" s="20">
        <f t="shared" si="28"/>
        <v>929</v>
      </c>
      <c r="F176" s="6"/>
      <c r="U176" t="s">
        <v>34</v>
      </c>
      <c r="V176" t="s">
        <v>30</v>
      </c>
      <c r="W176">
        <v>168</v>
      </c>
      <c r="X176" t="s">
        <v>31</v>
      </c>
      <c r="Y176" s="27" t="s">
        <v>32</v>
      </c>
      <c r="Z176" s="26">
        <f t="shared" si="25"/>
        <v>929</v>
      </c>
      <c r="AA176" t="s">
        <v>35</v>
      </c>
      <c r="AB176" s="26">
        <f t="shared" si="24"/>
        <v>2</v>
      </c>
      <c r="AD176">
        <v>128</v>
      </c>
      <c r="AE176">
        <f t="shared" si="18"/>
        <v>108</v>
      </c>
      <c r="AF176" s="20">
        <f t="shared" si="19"/>
        <v>871</v>
      </c>
      <c r="AG176" t="s">
        <v>33</v>
      </c>
    </row>
    <row r="177" spans="1:33">
      <c r="A177" s="17">
        <f>'R-T Table'!A178</f>
        <v>129</v>
      </c>
      <c r="B177" s="18">
        <f>'R-T Table'!C178</f>
        <v>1.4770000000000001</v>
      </c>
      <c r="C177" s="7">
        <f t="shared" si="26"/>
        <v>2.0938277599077502</v>
      </c>
      <c r="D177" s="19">
        <f t="shared" si="27"/>
        <v>0.91035989561206532</v>
      </c>
      <c r="E177" s="20">
        <f t="shared" si="28"/>
        <v>931</v>
      </c>
      <c r="F177" s="6"/>
      <c r="U177" t="s">
        <v>34</v>
      </c>
      <c r="V177" t="s">
        <v>30</v>
      </c>
      <c r="W177">
        <v>169</v>
      </c>
      <c r="X177" t="s">
        <v>31</v>
      </c>
      <c r="Y177" s="27" t="s">
        <v>32</v>
      </c>
      <c r="Z177" s="26">
        <f t="shared" si="25"/>
        <v>931</v>
      </c>
      <c r="AA177" t="s">
        <v>35</v>
      </c>
      <c r="AB177" s="26">
        <f t="shared" si="24"/>
        <v>2</v>
      </c>
      <c r="AD177">
        <v>129</v>
      </c>
      <c r="AE177">
        <f t="shared" ref="AE177:AE198" si="29">A157</f>
        <v>109</v>
      </c>
      <c r="AF177" s="20">
        <f t="shared" ref="AF177:AF198" si="30">E157</f>
        <v>874</v>
      </c>
      <c r="AG177" t="s">
        <v>33</v>
      </c>
    </row>
    <row r="178" spans="1:33">
      <c r="A178" s="17">
        <f>'R-T Table'!A179</f>
        <v>130</v>
      </c>
      <c r="B178" s="18">
        <f>'R-T Table'!C179</f>
        <v>1.4390000000000001</v>
      </c>
      <c r="C178" s="7">
        <f t="shared" si="26"/>
        <v>2.0986678021777481</v>
      </c>
      <c r="D178" s="19">
        <f t="shared" si="27"/>
        <v>0.91246426181641227</v>
      </c>
      <c r="E178" s="20">
        <f t="shared" si="28"/>
        <v>933</v>
      </c>
      <c r="F178" s="6"/>
      <c r="U178" t="s">
        <v>34</v>
      </c>
      <c r="V178" t="s">
        <v>30</v>
      </c>
      <c r="W178">
        <v>170</v>
      </c>
      <c r="X178" t="s">
        <v>31</v>
      </c>
      <c r="Y178" s="27" t="s">
        <v>32</v>
      </c>
      <c r="Z178" s="26">
        <f t="shared" si="25"/>
        <v>933</v>
      </c>
      <c r="AA178" t="s">
        <v>35</v>
      </c>
      <c r="AB178" s="26">
        <f t="shared" si="24"/>
        <v>2</v>
      </c>
      <c r="AD178">
        <v>130</v>
      </c>
      <c r="AE178">
        <f t="shared" si="29"/>
        <v>110</v>
      </c>
      <c r="AF178" s="20">
        <f t="shared" si="30"/>
        <v>878</v>
      </c>
      <c r="AG178" t="s">
        <v>33</v>
      </c>
    </row>
    <row r="179" spans="1:33">
      <c r="A179" s="17">
        <f>'R-T Table'!A180</f>
        <v>131</v>
      </c>
      <c r="B179" s="18">
        <f>'R-T Table'!C180</f>
        <v>1.4019999999999999</v>
      </c>
      <c r="C179" s="7">
        <f t="shared" si="26"/>
        <v>2.1034020241433971</v>
      </c>
      <c r="D179" s="19">
        <f t="shared" si="27"/>
        <v>0.91452261919278144</v>
      </c>
      <c r="E179" s="20">
        <f t="shared" si="28"/>
        <v>936</v>
      </c>
      <c r="F179" s="6"/>
      <c r="U179" t="s">
        <v>34</v>
      </c>
      <c r="V179" t="s">
        <v>30</v>
      </c>
      <c r="W179">
        <v>171</v>
      </c>
      <c r="X179" t="s">
        <v>31</v>
      </c>
      <c r="Y179" s="27" t="s">
        <v>32</v>
      </c>
      <c r="Z179" s="26">
        <f t="shared" si="25"/>
        <v>936</v>
      </c>
      <c r="AA179" t="s">
        <v>35</v>
      </c>
      <c r="AB179" s="26">
        <f t="shared" si="24"/>
        <v>3</v>
      </c>
      <c r="AD179">
        <v>131</v>
      </c>
      <c r="AE179">
        <f t="shared" si="29"/>
        <v>111</v>
      </c>
      <c r="AF179" s="20">
        <f t="shared" si="30"/>
        <v>881</v>
      </c>
      <c r="AG179" t="s">
        <v>33</v>
      </c>
    </row>
    <row r="180" spans="1:33">
      <c r="A180" s="17">
        <f>'R-T Table'!A181</f>
        <v>132</v>
      </c>
      <c r="B180" s="18">
        <f>'R-T Table'!C181</f>
        <v>1.3660000000000001</v>
      </c>
      <c r="C180" s="7">
        <f t="shared" si="26"/>
        <v>2.1080288402786262</v>
      </c>
      <c r="D180" s="19">
        <f t="shared" si="27"/>
        <v>0.91653427838201151</v>
      </c>
      <c r="E180" s="20">
        <f t="shared" si="28"/>
        <v>938</v>
      </c>
      <c r="F180" s="6"/>
      <c r="U180" t="s">
        <v>34</v>
      </c>
      <c r="V180" t="s">
        <v>30</v>
      </c>
      <c r="W180">
        <v>172</v>
      </c>
      <c r="X180" t="s">
        <v>31</v>
      </c>
      <c r="Y180" s="27" t="s">
        <v>32</v>
      </c>
      <c r="Z180" s="26">
        <f t="shared" si="25"/>
        <v>938</v>
      </c>
      <c r="AA180" t="s">
        <v>35</v>
      </c>
      <c r="AB180" s="26">
        <f t="shared" si="24"/>
        <v>2</v>
      </c>
      <c r="AD180">
        <v>132</v>
      </c>
      <c r="AE180">
        <f t="shared" si="29"/>
        <v>112</v>
      </c>
      <c r="AF180" s="20">
        <f t="shared" si="30"/>
        <v>885</v>
      </c>
      <c r="AG180" t="s">
        <v>33</v>
      </c>
    </row>
    <row r="181" spans="1:33">
      <c r="A181" s="17">
        <f>'R-T Table'!A182</f>
        <v>133</v>
      </c>
      <c r="B181" s="18">
        <f>'R-T Table'!C182</f>
        <v>1.331</v>
      </c>
      <c r="C181" s="7">
        <f t="shared" si="26"/>
        <v>2.1125466903435184</v>
      </c>
      <c r="D181" s="19">
        <f t="shared" si="27"/>
        <v>0.91849856101892113</v>
      </c>
      <c r="E181" s="20">
        <f t="shared" si="28"/>
        <v>940</v>
      </c>
      <c r="F181" s="6"/>
      <c r="U181" t="s">
        <v>34</v>
      </c>
      <c r="V181" t="s">
        <v>30</v>
      </c>
      <c r="W181">
        <v>173</v>
      </c>
      <c r="X181" t="s">
        <v>31</v>
      </c>
      <c r="Y181" s="27" t="s">
        <v>32</v>
      </c>
      <c r="Z181" s="26">
        <f t="shared" si="25"/>
        <v>940</v>
      </c>
      <c r="AA181" t="s">
        <v>35</v>
      </c>
      <c r="AB181" s="26">
        <f t="shared" si="24"/>
        <v>2</v>
      </c>
      <c r="AD181">
        <v>133</v>
      </c>
      <c r="AE181">
        <f t="shared" si="29"/>
        <v>113</v>
      </c>
      <c r="AF181" s="20">
        <f t="shared" si="30"/>
        <v>888</v>
      </c>
      <c r="AG181" t="s">
        <v>33</v>
      </c>
    </row>
    <row r="182" spans="1:33">
      <c r="A182" s="17">
        <f>'R-T Table'!A183</f>
        <v>134</v>
      </c>
      <c r="B182" s="18">
        <f>'R-T Table'!C183</f>
        <v>1.298</v>
      </c>
      <c r="C182" s="7">
        <f t="shared" si="26"/>
        <v>2.1168241502024787</v>
      </c>
      <c r="D182" s="19">
        <f t="shared" si="27"/>
        <v>0.9203583261749908</v>
      </c>
      <c r="E182" s="20">
        <f t="shared" si="28"/>
        <v>942</v>
      </c>
      <c r="F182" s="6"/>
      <c r="U182" t="s">
        <v>34</v>
      </c>
      <c r="V182" t="s">
        <v>30</v>
      </c>
      <c r="W182">
        <v>174</v>
      </c>
      <c r="X182" t="s">
        <v>31</v>
      </c>
      <c r="Y182" s="27" t="s">
        <v>32</v>
      </c>
      <c r="Z182" s="26">
        <f t="shared" si="25"/>
        <v>942</v>
      </c>
      <c r="AA182" t="s">
        <v>35</v>
      </c>
      <c r="AB182" s="26">
        <f t="shared" si="24"/>
        <v>2</v>
      </c>
      <c r="AD182">
        <v>134</v>
      </c>
      <c r="AE182">
        <f t="shared" si="29"/>
        <v>114</v>
      </c>
      <c r="AF182" s="20">
        <f t="shared" si="30"/>
        <v>891</v>
      </c>
      <c r="AG182" t="s">
        <v>33</v>
      </c>
    </row>
    <row r="183" spans="1:33">
      <c r="A183" s="17">
        <f>'R-T Table'!A184</f>
        <v>135</v>
      </c>
      <c r="B183" s="18">
        <f>'R-T Table'!C184</f>
        <v>1.2649999999999999</v>
      </c>
      <c r="C183" s="7">
        <f t="shared" si="26"/>
        <v>2.1211189671072854</v>
      </c>
      <c r="D183" s="19">
        <f t="shared" si="27"/>
        <v>0.92222563787273282</v>
      </c>
      <c r="E183" s="20">
        <f t="shared" si="28"/>
        <v>943</v>
      </c>
      <c r="F183" s="6"/>
      <c r="U183" t="s">
        <v>34</v>
      </c>
      <c r="V183" t="s">
        <v>30</v>
      </c>
      <c r="W183">
        <v>175</v>
      </c>
      <c r="X183" t="s">
        <v>31</v>
      </c>
      <c r="Y183" s="27" t="s">
        <v>32</v>
      </c>
      <c r="Z183" s="26">
        <f t="shared" si="25"/>
        <v>943</v>
      </c>
      <c r="AA183" t="s">
        <v>35</v>
      </c>
      <c r="AB183" s="26">
        <f t="shared" si="24"/>
        <v>1</v>
      </c>
      <c r="AD183">
        <v>135</v>
      </c>
      <c r="AE183">
        <f t="shared" si="29"/>
        <v>115</v>
      </c>
      <c r="AF183" s="20">
        <f t="shared" si="30"/>
        <v>895</v>
      </c>
      <c r="AG183" t="s">
        <v>33</v>
      </c>
    </row>
    <row r="184" spans="1:33">
      <c r="A184" s="17">
        <f>'R-T Table'!A185</f>
        <v>136</v>
      </c>
      <c r="B184" s="18">
        <f>'R-T Table'!C185</f>
        <v>1.2330000000000001</v>
      </c>
      <c r="C184" s="7">
        <f t="shared" si="26"/>
        <v>2.125300314174829</v>
      </c>
      <c r="D184" s="19">
        <f t="shared" si="27"/>
        <v>0.92404361485862141</v>
      </c>
      <c r="E184" s="20">
        <f t="shared" si="28"/>
        <v>945</v>
      </c>
      <c r="F184" s="6"/>
      <c r="U184" t="s">
        <v>34</v>
      </c>
      <c r="V184" t="s">
        <v>30</v>
      </c>
      <c r="W184">
        <v>176</v>
      </c>
      <c r="X184" t="s">
        <v>31</v>
      </c>
      <c r="Y184" s="27" t="s">
        <v>32</v>
      </c>
      <c r="Z184" s="26">
        <f t="shared" si="25"/>
        <v>945</v>
      </c>
      <c r="AA184" t="s">
        <v>35</v>
      </c>
      <c r="AB184" s="26">
        <f t="shared" si="24"/>
        <v>2</v>
      </c>
      <c r="AD184">
        <v>136</v>
      </c>
      <c r="AE184">
        <f t="shared" si="29"/>
        <v>116</v>
      </c>
      <c r="AF184" s="20">
        <f t="shared" si="30"/>
        <v>898</v>
      </c>
      <c r="AG184" t="s">
        <v>33</v>
      </c>
    </row>
    <row r="185" spans="1:33">
      <c r="A185" s="17">
        <f>'R-T Table'!A186</f>
        <v>137</v>
      </c>
      <c r="B185" s="18">
        <f>'R-T Table'!C186</f>
        <v>1.202</v>
      </c>
      <c r="C185" s="7">
        <f t="shared" si="26"/>
        <v>2.1293667448463154</v>
      </c>
      <c r="D185" s="19">
        <f t="shared" si="27"/>
        <v>0.92581162819405027</v>
      </c>
      <c r="E185" s="20">
        <f t="shared" si="28"/>
        <v>947</v>
      </c>
      <c r="F185" s="6"/>
      <c r="U185" t="s">
        <v>34</v>
      </c>
      <c r="V185" t="s">
        <v>30</v>
      </c>
      <c r="W185">
        <v>177</v>
      </c>
      <c r="X185" t="s">
        <v>31</v>
      </c>
      <c r="Y185" s="27" t="s">
        <v>32</v>
      </c>
      <c r="Z185" s="26">
        <f t="shared" si="25"/>
        <v>947</v>
      </c>
      <c r="AA185" t="s">
        <v>35</v>
      </c>
      <c r="AB185" s="26">
        <f t="shared" si="24"/>
        <v>2</v>
      </c>
      <c r="AD185">
        <v>137</v>
      </c>
      <c r="AE185">
        <f t="shared" si="29"/>
        <v>117</v>
      </c>
      <c r="AF185" s="20">
        <f t="shared" si="30"/>
        <v>901</v>
      </c>
      <c r="AG185" t="s">
        <v>33</v>
      </c>
    </row>
    <row r="186" spans="1:33">
      <c r="A186" s="17">
        <f>'R-T Table'!A187</f>
        <v>138</v>
      </c>
      <c r="B186" s="18">
        <f>'R-T Table'!C187</f>
        <v>1.1719999999999999</v>
      </c>
      <c r="C186" s="7">
        <f t="shared" si="26"/>
        <v>2.1333168439277763</v>
      </c>
      <c r="D186" s="19">
        <f t="shared" si="27"/>
        <v>0.92752906257729417</v>
      </c>
      <c r="E186" s="20">
        <f t="shared" si="28"/>
        <v>949</v>
      </c>
      <c r="F186" s="6"/>
      <c r="U186" t="s">
        <v>34</v>
      </c>
      <c r="V186" t="s">
        <v>30</v>
      </c>
      <c r="W186">
        <v>178</v>
      </c>
      <c r="X186" t="s">
        <v>31</v>
      </c>
      <c r="Y186" s="27" t="s">
        <v>32</v>
      </c>
      <c r="Z186" s="26">
        <f t="shared" si="25"/>
        <v>949</v>
      </c>
      <c r="AA186" t="s">
        <v>35</v>
      </c>
      <c r="AB186" s="26">
        <f t="shared" si="24"/>
        <v>2</v>
      </c>
      <c r="AD186">
        <v>138</v>
      </c>
      <c r="AE186">
        <f t="shared" si="29"/>
        <v>118</v>
      </c>
      <c r="AF186" s="20">
        <f t="shared" si="30"/>
        <v>904</v>
      </c>
      <c r="AG186" t="s">
        <v>33</v>
      </c>
    </row>
    <row r="187" spans="1:33">
      <c r="A187" s="17">
        <f>'R-T Table'!A188</f>
        <v>139</v>
      </c>
      <c r="B187" s="18">
        <f>'R-T Table'!C188</f>
        <v>1.143</v>
      </c>
      <c r="C187" s="7">
        <f t="shared" si="26"/>
        <v>2.1371492287678868</v>
      </c>
      <c r="D187" s="19">
        <f t="shared" si="27"/>
        <v>0.92919531685560308</v>
      </c>
      <c r="E187" s="20">
        <f t="shared" si="28"/>
        <v>951</v>
      </c>
      <c r="F187" s="6"/>
      <c r="U187" t="s">
        <v>34</v>
      </c>
      <c r="V187" t="s">
        <v>30</v>
      </c>
      <c r="W187">
        <v>179</v>
      </c>
      <c r="X187" t="s">
        <v>31</v>
      </c>
      <c r="Y187" s="27" t="s">
        <v>32</v>
      </c>
      <c r="Z187" s="26">
        <f t="shared" si="25"/>
        <v>951</v>
      </c>
      <c r="AA187" t="s">
        <v>35</v>
      </c>
      <c r="AB187" s="26">
        <f t="shared" si="24"/>
        <v>2</v>
      </c>
      <c r="AD187">
        <v>139</v>
      </c>
      <c r="AE187">
        <f t="shared" si="29"/>
        <v>119</v>
      </c>
      <c r="AF187" s="20">
        <f t="shared" si="30"/>
        <v>906</v>
      </c>
      <c r="AG187" t="s">
        <v>33</v>
      </c>
    </row>
    <row r="188" spans="1:33">
      <c r="A188" s="17">
        <f>'R-T Table'!A189</f>
        <v>140</v>
      </c>
      <c r="B188" s="18">
        <f>'R-T Table'!C189</f>
        <v>1.115</v>
      </c>
      <c r="C188" s="7">
        <f t="shared" si="26"/>
        <v>2.1408625504188645</v>
      </c>
      <c r="D188" s="19">
        <f t="shared" si="27"/>
        <v>0.93080980452994122</v>
      </c>
      <c r="E188" s="20">
        <f t="shared" si="28"/>
        <v>952</v>
      </c>
      <c r="F188" s="6"/>
      <c r="U188" t="s">
        <v>34</v>
      </c>
      <c r="V188" t="s">
        <v>30</v>
      </c>
      <c r="W188">
        <v>180</v>
      </c>
      <c r="X188" t="s">
        <v>31</v>
      </c>
      <c r="Y188" s="27" t="s">
        <v>32</v>
      </c>
      <c r="Z188" s="26">
        <f t="shared" si="25"/>
        <v>952</v>
      </c>
      <c r="AA188" t="s">
        <v>35</v>
      </c>
      <c r="AB188" s="26">
        <f t="shared" si="24"/>
        <v>1</v>
      </c>
      <c r="AD188">
        <v>140</v>
      </c>
      <c r="AE188">
        <f t="shared" si="29"/>
        <v>120</v>
      </c>
      <c r="AF188" s="20">
        <f t="shared" si="30"/>
        <v>909</v>
      </c>
      <c r="AG188" t="s">
        <v>33</v>
      </c>
    </row>
    <row r="189" spans="1:33">
      <c r="A189" s="17">
        <f>'R-T Table'!A190</f>
        <v>141</v>
      </c>
      <c r="B189" s="18">
        <f>'R-T Table'!C190</f>
        <v>1.0880000000000001</v>
      </c>
      <c r="C189" s="7">
        <f t="shared" si="26"/>
        <v>2.1444554947787169</v>
      </c>
      <c r="D189" s="19">
        <f t="shared" si="27"/>
        <v>0.93237195425161612</v>
      </c>
      <c r="E189" s="20">
        <f t="shared" si="28"/>
        <v>954</v>
      </c>
      <c r="F189" s="6"/>
      <c r="U189" t="s">
        <v>34</v>
      </c>
      <c r="V189" t="s">
        <v>30</v>
      </c>
      <c r="W189">
        <v>181</v>
      </c>
      <c r="X189" t="s">
        <v>31</v>
      </c>
      <c r="Y189" s="27" t="s">
        <v>32</v>
      </c>
      <c r="Z189" s="26">
        <f t="shared" si="25"/>
        <v>954</v>
      </c>
      <c r="AA189" t="s">
        <v>35</v>
      </c>
      <c r="AB189" s="26">
        <f t="shared" si="24"/>
        <v>2</v>
      </c>
      <c r="AD189">
        <v>141</v>
      </c>
      <c r="AE189">
        <f t="shared" si="29"/>
        <v>121</v>
      </c>
      <c r="AF189" s="20">
        <f t="shared" si="30"/>
        <v>912</v>
      </c>
      <c r="AG189" t="s">
        <v>33</v>
      </c>
    </row>
    <row r="190" spans="1:33">
      <c r="A190" s="17">
        <f>'R-T Table'!A191</f>
        <v>142</v>
      </c>
      <c r="B190" s="18">
        <f>'R-T Table'!C191</f>
        <v>1.0609999999999999</v>
      </c>
      <c r="C190" s="7">
        <f t="shared" si="26"/>
        <v>2.148060519270282</v>
      </c>
      <c r="D190" s="19">
        <f t="shared" si="27"/>
        <v>0.93393935620447044</v>
      </c>
      <c r="E190" s="20">
        <f t="shared" si="28"/>
        <v>955</v>
      </c>
      <c r="F190" s="6"/>
      <c r="U190" t="s">
        <v>34</v>
      </c>
      <c r="V190" t="s">
        <v>30</v>
      </c>
      <c r="W190">
        <v>182</v>
      </c>
      <c r="X190" t="s">
        <v>31</v>
      </c>
      <c r="Y190" s="27" t="s">
        <v>32</v>
      </c>
      <c r="Z190" s="26">
        <f t="shared" si="25"/>
        <v>955</v>
      </c>
      <c r="AA190" t="s">
        <v>35</v>
      </c>
      <c r="AB190" s="26">
        <f t="shared" si="24"/>
        <v>1</v>
      </c>
      <c r="AD190">
        <v>142</v>
      </c>
      <c r="AE190">
        <f t="shared" si="29"/>
        <v>122</v>
      </c>
      <c r="AF190" s="20">
        <f t="shared" si="30"/>
        <v>915</v>
      </c>
      <c r="AG190" t="s">
        <v>33</v>
      </c>
    </row>
    <row r="191" spans="1:33">
      <c r="A191" s="17">
        <f>'R-T Table'!A192</f>
        <v>143</v>
      </c>
      <c r="B191" s="18">
        <f>'R-T Table'!C192</f>
        <v>1.0349999999999999</v>
      </c>
      <c r="C191" s="7">
        <f t="shared" si="26"/>
        <v>2.1515434985968196</v>
      </c>
      <c r="D191" s="19">
        <f t="shared" si="27"/>
        <v>0.93545369504209552</v>
      </c>
      <c r="E191" s="20">
        <f t="shared" si="28"/>
        <v>957</v>
      </c>
      <c r="F191" s="6"/>
      <c r="U191" t="s">
        <v>34</v>
      </c>
      <c r="V191" t="s">
        <v>30</v>
      </c>
      <c r="W191">
        <v>183</v>
      </c>
      <c r="X191" t="s">
        <v>31</v>
      </c>
      <c r="Y191" s="27" t="s">
        <v>32</v>
      </c>
      <c r="Z191" s="26">
        <f t="shared" si="25"/>
        <v>957</v>
      </c>
      <c r="AA191" t="s">
        <v>35</v>
      </c>
      <c r="AB191" s="26">
        <f t="shared" si="24"/>
        <v>2</v>
      </c>
      <c r="AD191">
        <v>143</v>
      </c>
      <c r="AE191">
        <f t="shared" si="29"/>
        <v>123</v>
      </c>
      <c r="AF191" s="20">
        <f t="shared" si="30"/>
        <v>917</v>
      </c>
      <c r="AG191" t="s">
        <v>33</v>
      </c>
    </row>
    <row r="192" spans="1:33">
      <c r="A192" s="17">
        <f>'R-T Table'!A193</f>
        <v>144</v>
      </c>
      <c r="B192" s="18">
        <f>'R-T Table'!C193</f>
        <v>1.01</v>
      </c>
      <c r="C192" s="7">
        <f t="shared" si="26"/>
        <v>2.1549031855090566</v>
      </c>
      <c r="D192" s="19">
        <f t="shared" si="27"/>
        <v>0.93691442848219864</v>
      </c>
      <c r="E192" s="20">
        <f t="shared" si="28"/>
        <v>958</v>
      </c>
      <c r="F192" s="6"/>
      <c r="U192" t="s">
        <v>34</v>
      </c>
      <c r="V192" t="s">
        <v>30</v>
      </c>
      <c r="W192">
        <v>184</v>
      </c>
      <c r="X192" t="s">
        <v>31</v>
      </c>
      <c r="Y192" s="27" t="s">
        <v>32</v>
      </c>
      <c r="Z192" s="26">
        <f t="shared" si="25"/>
        <v>958</v>
      </c>
      <c r="AA192" t="s">
        <v>35</v>
      </c>
      <c r="AB192" s="26">
        <f t="shared" si="24"/>
        <v>1</v>
      </c>
      <c r="AD192">
        <v>144</v>
      </c>
      <c r="AE192">
        <f t="shared" si="29"/>
        <v>124</v>
      </c>
      <c r="AF192" s="20">
        <f t="shared" si="30"/>
        <v>920</v>
      </c>
      <c r="AG192" t="s">
        <v>33</v>
      </c>
    </row>
    <row r="193" spans="1:33">
      <c r="A193" s="17">
        <f>'R-T Table'!A194</f>
        <v>145</v>
      </c>
      <c r="B193" s="18">
        <f>'R-T Table'!C194</f>
        <v>0.98499999999999999</v>
      </c>
      <c r="C193" s="7">
        <f t="shared" si="26"/>
        <v>2.1582733812949639</v>
      </c>
      <c r="D193" s="19">
        <f t="shared" si="27"/>
        <v>0.93837973099781047</v>
      </c>
      <c r="E193" s="20">
        <f t="shared" si="28"/>
        <v>960</v>
      </c>
      <c r="F193" s="6"/>
      <c r="U193" t="s">
        <v>34</v>
      </c>
      <c r="V193" t="s">
        <v>30</v>
      </c>
      <c r="W193">
        <v>185</v>
      </c>
      <c r="X193" t="s">
        <v>31</v>
      </c>
      <c r="Y193" s="27" t="s">
        <v>32</v>
      </c>
      <c r="Z193" s="26">
        <f t="shared" si="25"/>
        <v>960</v>
      </c>
      <c r="AA193" t="s">
        <v>35</v>
      </c>
      <c r="AB193" s="26">
        <f t="shared" si="24"/>
        <v>2</v>
      </c>
      <c r="AD193">
        <v>145</v>
      </c>
      <c r="AE193">
        <f t="shared" si="29"/>
        <v>125</v>
      </c>
      <c r="AF193" s="20">
        <f t="shared" si="30"/>
        <v>922</v>
      </c>
      <c r="AG193" t="s">
        <v>33</v>
      </c>
    </row>
    <row r="194" spans="1:33">
      <c r="A194" s="17">
        <f>'R-T Table'!A195</f>
        <v>146</v>
      </c>
      <c r="B194" s="18">
        <f>'R-T Table'!C195</f>
        <v>0.96199999999999997</v>
      </c>
      <c r="C194" s="7">
        <f t="shared" si="26"/>
        <v>2.1613832853025938</v>
      </c>
      <c r="D194" s="19">
        <f t="shared" si="27"/>
        <v>0.93973186317504087</v>
      </c>
      <c r="E194" s="20">
        <f t="shared" si="28"/>
        <v>961</v>
      </c>
      <c r="F194" s="6"/>
      <c r="U194" t="s">
        <v>34</v>
      </c>
      <c r="V194" t="s">
        <v>30</v>
      </c>
      <c r="W194">
        <v>186</v>
      </c>
      <c r="X194" t="s">
        <v>31</v>
      </c>
      <c r="Y194" s="27" t="s">
        <v>32</v>
      </c>
      <c r="Z194" s="26">
        <f t="shared" si="25"/>
        <v>961</v>
      </c>
      <c r="AA194" t="s">
        <v>35</v>
      </c>
      <c r="AB194" s="26">
        <f t="shared" si="24"/>
        <v>1</v>
      </c>
      <c r="AD194">
        <v>146</v>
      </c>
      <c r="AE194">
        <f t="shared" si="29"/>
        <v>126</v>
      </c>
      <c r="AF194" s="20">
        <f t="shared" si="30"/>
        <v>925</v>
      </c>
      <c r="AG194" t="s">
        <v>33</v>
      </c>
    </row>
    <row r="195" spans="1:33">
      <c r="A195" s="17">
        <f>'R-T Table'!A196</f>
        <v>147</v>
      </c>
      <c r="B195" s="18">
        <f>'R-T Table'!C196</f>
        <v>0.93899999999999995</v>
      </c>
      <c r="C195" s="7">
        <f t="shared" si="26"/>
        <v>2.1645021645021645</v>
      </c>
      <c r="D195" s="19">
        <f t="shared" si="27"/>
        <v>0.94108789760963685</v>
      </c>
      <c r="E195" s="20">
        <f t="shared" si="28"/>
        <v>963</v>
      </c>
      <c r="F195" s="6"/>
      <c r="U195" t="s">
        <v>34</v>
      </c>
      <c r="V195" t="s">
        <v>30</v>
      </c>
      <c r="W195">
        <v>187</v>
      </c>
      <c r="X195" t="s">
        <v>31</v>
      </c>
      <c r="Y195" s="27" t="s">
        <v>32</v>
      </c>
      <c r="Z195" s="26">
        <f t="shared" si="25"/>
        <v>963</v>
      </c>
      <c r="AA195" t="s">
        <v>35</v>
      </c>
      <c r="AB195" s="26">
        <f t="shared" si="24"/>
        <v>2</v>
      </c>
      <c r="AD195">
        <v>147</v>
      </c>
      <c r="AE195">
        <f t="shared" si="29"/>
        <v>127</v>
      </c>
      <c r="AF195" s="20">
        <f t="shared" si="30"/>
        <v>927</v>
      </c>
      <c r="AG195" t="s">
        <v>33</v>
      </c>
    </row>
    <row r="196" spans="1:33">
      <c r="A196" s="17">
        <f>'R-T Table'!A197</f>
        <v>148</v>
      </c>
      <c r="B196" s="18">
        <f>'R-T Table'!C197</f>
        <v>0.91600000000000004</v>
      </c>
      <c r="C196" s="7">
        <f t="shared" si="26"/>
        <v>2.1676300578034682</v>
      </c>
      <c r="D196" s="19">
        <f t="shared" si="27"/>
        <v>0.94244785121889929</v>
      </c>
      <c r="E196" s="20">
        <f t="shared" si="28"/>
        <v>964</v>
      </c>
      <c r="F196" s="6"/>
      <c r="U196" t="s">
        <v>34</v>
      </c>
      <c r="V196" t="s">
        <v>30</v>
      </c>
      <c r="W196">
        <v>188</v>
      </c>
      <c r="X196" t="s">
        <v>31</v>
      </c>
      <c r="Y196" s="27" t="s">
        <v>32</v>
      </c>
      <c r="Z196" s="26">
        <f t="shared" si="25"/>
        <v>964</v>
      </c>
      <c r="AA196" t="s">
        <v>35</v>
      </c>
      <c r="AB196" s="26">
        <f t="shared" si="24"/>
        <v>1</v>
      </c>
      <c r="AD196">
        <v>148</v>
      </c>
      <c r="AE196">
        <f t="shared" si="29"/>
        <v>128</v>
      </c>
      <c r="AF196" s="20">
        <f t="shared" si="30"/>
        <v>929</v>
      </c>
      <c r="AG196" t="s">
        <v>33</v>
      </c>
    </row>
    <row r="197" spans="1:33">
      <c r="A197" s="17">
        <f>'R-T Table'!A198</f>
        <v>149</v>
      </c>
      <c r="B197" s="18">
        <f>'R-T Table'!C198</f>
        <v>0.89400000000000002</v>
      </c>
      <c r="C197" s="7">
        <f t="shared" si="26"/>
        <v>2.1706304265760665</v>
      </c>
      <c r="D197" s="19">
        <f t="shared" si="27"/>
        <v>0.94375235938089852</v>
      </c>
      <c r="E197" s="20">
        <f t="shared" si="28"/>
        <v>965</v>
      </c>
      <c r="F197" s="6"/>
      <c r="U197" t="s">
        <v>34</v>
      </c>
      <c r="V197" t="s">
        <v>30</v>
      </c>
      <c r="W197">
        <v>189</v>
      </c>
      <c r="X197" t="s">
        <v>31</v>
      </c>
      <c r="Y197" s="27" t="s">
        <v>32</v>
      </c>
      <c r="Z197" s="26">
        <f t="shared" si="25"/>
        <v>965</v>
      </c>
      <c r="AA197" t="s">
        <v>35</v>
      </c>
      <c r="AB197" s="26">
        <f t="shared" si="24"/>
        <v>1</v>
      </c>
      <c r="AD197">
        <v>149</v>
      </c>
      <c r="AE197">
        <f t="shared" si="29"/>
        <v>129</v>
      </c>
      <c r="AF197" s="20">
        <f t="shared" si="30"/>
        <v>931</v>
      </c>
      <c r="AG197" t="s">
        <v>33</v>
      </c>
    </row>
    <row r="198" spans="1:33">
      <c r="A198" s="17">
        <f>'R-T Table'!A199</f>
        <v>150</v>
      </c>
      <c r="B198" s="18">
        <f>'R-T Table'!C199</f>
        <v>0.873</v>
      </c>
      <c r="C198" s="7">
        <f t="shared" si="26"/>
        <v>2.1735021735021736</v>
      </c>
      <c r="D198" s="19">
        <f t="shared" si="27"/>
        <v>0.94500094500094511</v>
      </c>
      <c r="E198" s="20">
        <f t="shared" si="28"/>
        <v>967</v>
      </c>
      <c r="F198" s="6"/>
      <c r="U198" t="s">
        <v>34</v>
      </c>
      <c r="V198" t="s">
        <v>30</v>
      </c>
      <c r="W198">
        <v>190</v>
      </c>
      <c r="X198" t="s">
        <v>31</v>
      </c>
      <c r="Y198" s="27" t="s">
        <v>32</v>
      </c>
      <c r="Z198" s="26">
        <f t="shared" si="25"/>
        <v>967</v>
      </c>
      <c r="AA198" t="s">
        <v>35</v>
      </c>
      <c r="AB198" s="26">
        <f t="shared" si="24"/>
        <v>2</v>
      </c>
      <c r="AD198">
        <v>150</v>
      </c>
      <c r="AE198">
        <f t="shared" si="29"/>
        <v>130</v>
      </c>
      <c r="AF198" s="20">
        <f t="shared" si="30"/>
        <v>933</v>
      </c>
      <c r="AG198" t="s">
        <v>33</v>
      </c>
    </row>
    <row r="199" spans="1:33">
      <c r="Z199" s="26"/>
    </row>
  </sheetData>
  <mergeCells count="2">
    <mergeCell ref="A1:F1"/>
    <mergeCell ref="B5:F5"/>
  </mergeCells>
  <phoneticPr fontId="1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R-T Table</vt:lpstr>
      <vt:lpstr>ADC Pull-up</vt:lpstr>
      <vt:lpstr>ADC Pull-down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INKYU KIM</cp:lastModifiedBy>
  <cp:revision>1</cp:revision>
  <dcterms:created xsi:type="dcterms:W3CDTF">2026-04-23T00:03:20Z</dcterms:created>
  <dcterms:modified xsi:type="dcterms:W3CDTF">2026-04-24T07:25:32Z</dcterms:modified>
  <dc:language>en-US</dc:language>
</cp:coreProperties>
</file>